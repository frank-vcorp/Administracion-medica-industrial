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TICA\Documents\REPORTES\PROYECTOS\2026\MACLEAN\"/>
    </mc:Choice>
  </mc:AlternateContent>
  <xr:revisionPtr revIDLastSave="0" documentId="13_ncr:1_{EF4E95B4-A9A1-4DCE-8CF5-008CC33717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CENTRADO" sheetId="1" r:id="rId1"/>
    <sheet name="LABORATORIOS" sheetId="10" r:id="rId2"/>
    <sheet name="GRAFICAS" sheetId="8" r:id="rId3"/>
    <sheet name="GRAFICAS OCULTAR" sheetId="4" state="hidden" r:id="rId4"/>
    <sheet name="Hoja3" sheetId="3" state="hidden" r:id="rId5"/>
  </sheets>
  <definedNames>
    <definedName name="_xlnm._FilterDatabase" localSheetId="0" hidden="1">CONCENTRADO!$A$3:$V$71</definedName>
    <definedName name="_xlnm._FilterDatabase" localSheetId="3" hidden="1">'GRAFICAS OCULTAR'!$J$2:$M$671</definedName>
    <definedName name="_xlnm._FilterDatabase" localSheetId="1" hidden="1">LABORATORIOS!$A$3:$Z$71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5" i="8" l="1"/>
  <c r="Y5" i="4"/>
  <c r="Y3" i="4"/>
  <c r="Y4" i="4"/>
  <c r="AN4" i="4"/>
  <c r="AV46" i="8" s="1"/>
  <c r="AN3" i="4"/>
  <c r="AV45" i="8" s="1"/>
  <c r="AN2" i="4"/>
  <c r="AV44" i="8" s="1"/>
  <c r="AK5" i="4"/>
  <c r="AV33" i="8" s="1"/>
  <c r="AK4" i="4"/>
  <c r="AV32" i="8" s="1"/>
  <c r="AK3" i="4"/>
  <c r="AV31" i="8" s="1"/>
  <c r="AK2" i="4"/>
  <c r="AV30" i="8" s="1"/>
  <c r="AB3" i="4"/>
  <c r="AL54" i="8" s="1"/>
  <c r="AH3" i="4"/>
  <c r="AV16" i="8" s="1"/>
  <c r="AH4" i="4"/>
  <c r="AV17" i="8" s="1"/>
  <c r="AE5" i="4"/>
  <c r="AV6" i="8" s="1"/>
  <c r="AE4" i="4"/>
  <c r="AV5" i="8" s="1"/>
  <c r="AE3" i="4"/>
  <c r="AV4" i="8" s="1"/>
  <c r="G4" i="4"/>
  <c r="D62" i="4"/>
  <c r="N6" i="8" s="1"/>
  <c r="D61" i="4"/>
  <c r="N7" i="8" s="1"/>
  <c r="D60" i="4"/>
  <c r="N8" i="8" s="1"/>
  <c r="G3" i="4"/>
  <c r="G2" i="4"/>
  <c r="B40" i="8" s="1"/>
  <c r="V4" i="4"/>
  <c r="V3" i="4"/>
  <c r="V2" i="4"/>
  <c r="AL34" i="8"/>
  <c r="AK34" i="8"/>
  <c r="AL33" i="8"/>
  <c r="AK33" i="8"/>
  <c r="AL32" i="8"/>
  <c r="AK32" i="8"/>
  <c r="AL26" i="8"/>
  <c r="AL25" i="8"/>
  <c r="AW4" i="4"/>
  <c r="AW3" i="4"/>
  <c r="AW2" i="4"/>
  <c r="AU45" i="8"/>
  <c r="AU46" i="8"/>
  <c r="AU47" i="8"/>
  <c r="AV47" i="8"/>
  <c r="AU44" i="8"/>
  <c r="AU31" i="8"/>
  <c r="AU32" i="8"/>
  <c r="AU33" i="8"/>
  <c r="AU34" i="8"/>
  <c r="AU35" i="8"/>
  <c r="AV35" i="8"/>
  <c r="AU30" i="8"/>
  <c r="AU17" i="8"/>
  <c r="AU18" i="8"/>
  <c r="AU19" i="8"/>
  <c r="AV19" i="8"/>
  <c r="AU16" i="8"/>
  <c r="AU5" i="8"/>
  <c r="AU6" i="8"/>
  <c r="AU7" i="8"/>
  <c r="AU8" i="8"/>
  <c r="AV8" i="8"/>
  <c r="AU4" i="8"/>
  <c r="AK55" i="8"/>
  <c r="AK56" i="8"/>
  <c r="AK54" i="8"/>
  <c r="AK48" i="8"/>
  <c r="AK49" i="8"/>
  <c r="AK47" i="8"/>
  <c r="AK6" i="4"/>
  <c r="AV34" i="8" s="1"/>
  <c r="AH5" i="4"/>
  <c r="AV18" i="8" s="1"/>
  <c r="AB5" i="4"/>
  <c r="AL56" i="8" s="1"/>
  <c r="AB4" i="4"/>
  <c r="AL55" i="8" s="1"/>
  <c r="AE6" i="4"/>
  <c r="AV7" i="8" s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Y30" i="8"/>
  <c r="Y31" i="8"/>
  <c r="Y29" i="8"/>
  <c r="Y19" i="8"/>
  <c r="Y20" i="8"/>
  <c r="Y21" i="8"/>
  <c r="Y18" i="8"/>
  <c r="Y5" i="8"/>
  <c r="Y6" i="8"/>
  <c r="Y7" i="8"/>
  <c r="Y4" i="8"/>
  <c r="Z44" i="8"/>
  <c r="AL43" i="8" l="1"/>
  <c r="AL13" i="8"/>
  <c r="AL6" i="8"/>
  <c r="AL27" i="8" l="1"/>
  <c r="N22" i="8"/>
  <c r="AL20" i="8"/>
  <c r="N9" i="8"/>
  <c r="Z31" i="8" l="1"/>
  <c r="Z30" i="8"/>
  <c r="Z29" i="8"/>
  <c r="P5" i="4"/>
  <c r="Z7" i="8" s="1"/>
  <c r="P4" i="4"/>
  <c r="Z6" i="8" s="1"/>
  <c r="P3" i="4"/>
  <c r="Z5" i="8" s="1"/>
  <c r="P2" i="4"/>
  <c r="Z4" i="8" s="1"/>
  <c r="B42" i="8"/>
  <c r="B41" i="8"/>
  <c r="S2" i="4" l="1"/>
  <c r="Z18" i="8" s="1"/>
  <c r="S5" i="4"/>
  <c r="Z21" i="8" s="1"/>
  <c r="S4" i="4"/>
  <c r="Z20" i="8" s="1"/>
  <c r="S3" i="4"/>
  <c r="Z19" i="8" s="1"/>
</calcChain>
</file>

<file path=xl/sharedStrings.xml><?xml version="1.0" encoding="utf-8"?>
<sst xmlns="http://schemas.openxmlformats.org/spreadsheetml/2006/main" count="2258" uniqueCount="528">
  <si>
    <t>NOMBRE</t>
  </si>
  <si>
    <t>AUDIOMETRÍA</t>
  </si>
  <si>
    <t>CONCENTRADO GENERAL</t>
  </si>
  <si>
    <t>ESPIROMETRIA</t>
  </si>
  <si>
    <t xml:space="preserve">TABAQUISMO </t>
  </si>
  <si>
    <t xml:space="preserve">FOLIO </t>
  </si>
  <si>
    <t>ANTIGÜEDAD</t>
  </si>
  <si>
    <t>FVC</t>
  </si>
  <si>
    <t>RADIOGRAFIA COLUMNA</t>
  </si>
  <si>
    <t>RADIOGRAFIA TORAX</t>
  </si>
  <si>
    <t>AREA/ PUESTO</t>
  </si>
  <si>
    <t>% HBC</t>
  </si>
  <si>
    <t>BASCULACIÓN PELVICA (cms)</t>
  </si>
  <si>
    <t>GRADO DE LORDOSIS(°)</t>
  </si>
  <si>
    <t>GRADO DE ESCOLIOSIS(°)</t>
  </si>
  <si>
    <t>CAMPIMETRIA</t>
  </si>
  <si>
    <t>AGUDEZA VISUAL</t>
  </si>
  <si>
    <t>CAMPOS VISUALES</t>
  </si>
  <si>
    <t>SEXO</t>
  </si>
  <si>
    <t>ELECTROCARDIOGRAMA</t>
  </si>
  <si>
    <t>TOXICOLOGICO</t>
  </si>
  <si>
    <t>DISMINUIDA</t>
  </si>
  <si>
    <t>NORMAL</t>
  </si>
  <si>
    <t>DISMINUIDA CORREGIDA</t>
  </si>
  <si>
    <t>DISMINUIDA NO CORREGIDA</t>
  </si>
  <si>
    <t xml:space="preserve"> </t>
  </si>
  <si>
    <t>DISMINUIDO</t>
  </si>
  <si>
    <t>DISCRIMINACIÓN DE COLORES</t>
  </si>
  <si>
    <t>DISCROMATOPSIA</t>
  </si>
  <si>
    <t>OIDO DERECHO</t>
  </si>
  <si>
    <t>OIDO IZQUIERDO</t>
  </si>
  <si>
    <t>Audición Normal</t>
  </si>
  <si>
    <t>Audición Normal, Datos de Fatiga Auditiva</t>
  </si>
  <si>
    <t>ESPIROMETRÍA</t>
  </si>
  <si>
    <t>PATRÓN ESPIROMÉTRICO OBSTRUCTIVO</t>
  </si>
  <si>
    <t>PATRÓN ESPIROMÉTRICO NO DIAGNOSTICABLE</t>
  </si>
  <si>
    <t>POSITIVO</t>
  </si>
  <si>
    <t>NEGADO</t>
  </si>
  <si>
    <t>NEGATIVO EN TODOS LOS PANELES</t>
  </si>
  <si>
    <t>POSITIVO A COCOCAINA</t>
  </si>
  <si>
    <t>POSITIVO A MARIHUANA</t>
  </si>
  <si>
    <t>POSITIVO A METANFETAMINAS</t>
  </si>
  <si>
    <t>POSITIVO A ANFETAMINAS</t>
  </si>
  <si>
    <t>POSITIVO A BENZODIACEPINAS</t>
  </si>
  <si>
    <t>POSITIVO A OPIACEOS</t>
  </si>
  <si>
    <t>N/A</t>
  </si>
  <si>
    <t>Hipoacusia Neurosensorial, Leve , Secundario a Trauma Acústico crónico por ruido</t>
  </si>
  <si>
    <t>Hipoacusia Neurosensorial, Moderada , Secundario a Trauma Acústico crónico por ruido</t>
  </si>
  <si>
    <t>Hipoacusia Neurosensorial, Grave , Secundario a Trauma Acústico crónico por ruido</t>
  </si>
  <si>
    <t>Hipoacusia Neurosensorial, Profunda , Secundario a Trauma Acústico crónico por ruido</t>
  </si>
  <si>
    <t>Hipoacusia Mixta, Leve , Secundario a Trauma Acústico crónico por ruido</t>
  </si>
  <si>
    <t>Hipoacusia Mixta, Moderada , Secundario a Trauma Acústico crónico por ruido</t>
  </si>
  <si>
    <t>Hipoacusia Mixta, Grave , Secundario a Trauma Acústico crónico por ruido</t>
  </si>
  <si>
    <t>Hipoacusia Mixta, Profunda , Secundario a Trauma Acústico crónico por ruido</t>
  </si>
  <si>
    <t>Hipoacusia Conductiva, Leve , De etiología a determinar</t>
  </si>
  <si>
    <t>Hipoacusia Conductiva, Moderada , De etiología a determinar</t>
  </si>
  <si>
    <t>Hipoacusia Conductiva, Grave , De etiología a determinar</t>
  </si>
  <si>
    <t>Hipoacusia Conductiva, Profunda , De etiología a determinar</t>
  </si>
  <si>
    <t>Hipoacusia Mixta, Leve , De etiología a determinar</t>
  </si>
  <si>
    <t>Hipoacusia Mixta, Moderada , De etiología a determinar</t>
  </si>
  <si>
    <t>Hipoacusia Mixta, Grave , De etiología a determinar</t>
  </si>
  <si>
    <t>Hipoacusia Mixta, Profunda , De etiología a determinar</t>
  </si>
  <si>
    <t>Hipoacusia Neurosensorial, Leve , De etiología a determinar</t>
  </si>
  <si>
    <t>Hipoacusia Neurosensorial, Moderada , De etiología a determinar</t>
  </si>
  <si>
    <t>Hipoacusia Neurosensorial, Grave , De etiología a determinar</t>
  </si>
  <si>
    <t>Hipoacusia Neurosensorial, Profunda , De etiología a determinar</t>
  </si>
  <si>
    <t>Hipoacusia Neurosensorial, Leve , Secundario a Presbiacusia</t>
  </si>
  <si>
    <t>Hipoacusia Neurosensorial, Moderada , Secundario a Presbiacusia</t>
  </si>
  <si>
    <t>Hipoacusia Neurosensorial, Grave , Secundario a Presbiacusia</t>
  </si>
  <si>
    <t>Hipoacusia Neurosensorial, Profunda , Secundario a Presbiacusia</t>
  </si>
  <si>
    <t>MEDIA</t>
  </si>
  <si>
    <t>Etiquetas de fila</t>
  </si>
  <si>
    <t>(en blanco)</t>
  </si>
  <si>
    <t>Total general</t>
  </si>
  <si>
    <t>&lt;1 AÑO</t>
  </si>
  <si>
    <t>1-5 AÑOS</t>
  </si>
  <si>
    <t>AREA</t>
  </si>
  <si>
    <t>LEVE</t>
  </si>
  <si>
    <t>MODERADO</t>
  </si>
  <si>
    <t>TABAQUISMO</t>
  </si>
  <si>
    <t>AUDIOMETRÍAS</t>
  </si>
  <si>
    <t>&lt;10%</t>
  </si>
  <si>
    <t>11-19%</t>
  </si>
  <si>
    <t>&gt;20%</t>
  </si>
  <si>
    <t xml:space="preserve">Cuenta de TABAQUISMO </t>
  </si>
  <si>
    <t>HBC CIPP</t>
  </si>
  <si>
    <t>CIPP</t>
  </si>
  <si>
    <t>DX</t>
  </si>
  <si>
    <t>Cuenta de GRADO DE ESCOLIOSIS(°)</t>
  </si>
  <si>
    <t>ESCOLIOSIS</t>
  </si>
  <si>
    <t>ESCOLIOSIS LEVE</t>
  </si>
  <si>
    <t>ESCOLIOSIS MODERADA</t>
  </si>
  <si>
    <t>ESCOLIOSIS GRAVE</t>
  </si>
  <si>
    <t>Cuenta de GRADO DE LORDOSIS(°)</t>
  </si>
  <si>
    <t>LORDOSIS</t>
  </si>
  <si>
    <t>AUMENTADA</t>
  </si>
  <si>
    <t>HIPERLORDOSIS</t>
  </si>
  <si>
    <t>Cuenta de BASCULACIÓN PELVICA (cms)</t>
  </si>
  <si>
    <t>BASCULACION PELVICA</t>
  </si>
  <si>
    <t>ALTA</t>
  </si>
  <si>
    <t>Cuenta de ANTIGÜEDAD</t>
  </si>
  <si>
    <t>(Varios elementos)</t>
  </si>
  <si>
    <t>TRAUMA ACUSTICO POR AREA</t>
  </si>
  <si>
    <t>GLUCOSA</t>
  </si>
  <si>
    <t>Baja</t>
  </si>
  <si>
    <t>Normal</t>
  </si>
  <si>
    <t>Alterada</t>
  </si>
  <si>
    <t>Total</t>
  </si>
  <si>
    <t>COLESTEROL</t>
  </si>
  <si>
    <t>Moderado</t>
  </si>
  <si>
    <t>Alto</t>
  </si>
  <si>
    <t>%HBC</t>
  </si>
  <si>
    <t>Muy Alto &gt;20%</t>
  </si>
  <si>
    <t>Alto 10-19.9%</t>
  </si>
  <si>
    <t>TRIGLICERIDOS</t>
  </si>
  <si>
    <t>Bajo 0-9.9%</t>
  </si>
  <si>
    <t>Limite Alto</t>
  </si>
  <si>
    <t>ESPIROMETRIAS</t>
  </si>
  <si>
    <t>TOTAL</t>
  </si>
  <si>
    <t>TRAUMA ACUSTICO</t>
  </si>
  <si>
    <t>MANTENIMIENTO</t>
  </si>
  <si>
    <t>MASCULINO</t>
  </si>
  <si>
    <t>IMPRESIÓN DIAGNOSTICA</t>
  </si>
  <si>
    <t>DISMINUIDA SIN USO DE LENTES</t>
  </si>
  <si>
    <t>EXAMEN GENERAL DE ORINA</t>
  </si>
  <si>
    <t>MODERADAMENTE GRAVE</t>
  </si>
  <si>
    <t>Cuenta de DX</t>
  </si>
  <si>
    <t>Cuenta de AREA/ PUESTO</t>
  </si>
  <si>
    <t>Cuenta de % HBC</t>
  </si>
  <si>
    <t>COLUMNA</t>
  </si>
  <si>
    <t>QS6</t>
  </si>
  <si>
    <t>EGO</t>
  </si>
  <si>
    <t>PROTEINA</t>
  </si>
  <si>
    <t>SANGRE</t>
  </si>
  <si>
    <t>PATRÓN ESPIROMÉTRICO RESTRICTIVO MODERADO</t>
  </si>
  <si>
    <t>PATRÓN ESPIROMÉTRICO RESTRICTIVO LEVE</t>
  </si>
  <si>
    <t>CRISTALES</t>
  </si>
  <si>
    <t>SIN CRISTALES</t>
  </si>
  <si>
    <t>PRESENCIA DE CRISTALES</t>
  </si>
  <si>
    <t>BACTERIAS</t>
  </si>
  <si>
    <t>SIN DATOS PATOLOGICOS APARENTES</t>
  </si>
  <si>
    <t>CASOS DE SEGUIMIENTO</t>
  </si>
  <si>
    <t xml:space="preserve">HEMOGLOBINA </t>
  </si>
  <si>
    <t>Bajo</t>
  </si>
  <si>
    <t>ACIDO URICO</t>
  </si>
  <si>
    <t>LEUCOCITOS</t>
  </si>
  <si>
    <t>PLAQUETAS</t>
  </si>
  <si>
    <t xml:space="preserve">Audición normal </t>
  </si>
  <si>
    <t>Fatiga auditiva</t>
  </si>
  <si>
    <t xml:space="preserve">Hipoacusia Leve por exposición a ruido </t>
  </si>
  <si>
    <t>Hipoacuisa Moderada por exposición a ruido</t>
  </si>
  <si>
    <t>Hipoacuisa Moderadamente Grave por exposición a ruido</t>
  </si>
  <si>
    <t xml:space="preserve">Hipoacusia no relacionda con ruido laboral </t>
  </si>
  <si>
    <t>10-20 AÑOS</t>
  </si>
  <si>
    <t>21-30 AÑOS</t>
  </si>
  <si>
    <t>PB diabetes</t>
  </si>
  <si>
    <t>Cuenta de ESPIROMETRIA</t>
  </si>
  <si>
    <t>PATRÓN ESPIROMÉTRICO NO DIAGNOSTICABLES</t>
  </si>
  <si>
    <t>Riesgos muy Altos</t>
  </si>
  <si>
    <t>Riesgos Altos</t>
  </si>
  <si>
    <t>Casos p/seguimiento</t>
  </si>
  <si>
    <t>RADIOGRAFÍA TORAX</t>
  </si>
  <si>
    <t>Muy alto</t>
  </si>
  <si>
    <t>(Todas)</t>
  </si>
  <si>
    <t>HBC GENERAL</t>
  </si>
  <si>
    <t>BAJO</t>
  </si>
  <si>
    <t>ALTO</t>
  </si>
  <si>
    <t xml:space="preserve">BIOMETRIA HEMATICA </t>
  </si>
  <si>
    <t>QUIMICA SANGUINEA 6</t>
  </si>
  <si>
    <t>Folio</t>
  </si>
  <si>
    <t>Nombre</t>
  </si>
  <si>
    <t>Edad</t>
  </si>
  <si>
    <t>BH Hb</t>
  </si>
  <si>
    <t>BH MCHb</t>
  </si>
  <si>
    <t>BH CHGM</t>
  </si>
  <si>
    <t>BH LEU</t>
  </si>
  <si>
    <t>BH PLA</t>
  </si>
  <si>
    <t>GLUC</t>
  </si>
  <si>
    <t>BUN-LAB</t>
  </si>
  <si>
    <t>UREA</t>
  </si>
  <si>
    <t>CREAT</t>
  </si>
  <si>
    <t>AU</t>
  </si>
  <si>
    <t>COL</t>
  </si>
  <si>
    <t>TRIG</t>
  </si>
  <si>
    <t>EGO-GLC</t>
  </si>
  <si>
    <t>EGO-PROT</t>
  </si>
  <si>
    <t>EGOblo</t>
  </si>
  <si>
    <t>EGO BAC</t>
  </si>
  <si>
    <t>CRISTALES EGO</t>
  </si>
  <si>
    <t xml:space="preserve">BITACORA DE RESULTADOS </t>
  </si>
  <si>
    <t>FEMENINO</t>
  </si>
  <si>
    <t>Cuenta de BH LEU</t>
  </si>
  <si>
    <t>Cuenta de BH PLA</t>
  </si>
  <si>
    <t>Cuenta de GLUC</t>
  </si>
  <si>
    <t>Cuenta de COL</t>
  </si>
  <si>
    <t>Cuenta de TRIG</t>
  </si>
  <si>
    <t>Cuenta de AU</t>
  </si>
  <si>
    <t>Cuenta de CRISTALES EGO</t>
  </si>
  <si>
    <t>Cuenta de EGO BAC</t>
  </si>
  <si>
    <t>HEMOGLOBINA</t>
  </si>
  <si>
    <t>NO DIABETICO</t>
  </si>
  <si>
    <t>DIABETICO EN CONTROL</t>
  </si>
  <si>
    <t>RIESGO</t>
  </si>
  <si>
    <t>AUSENTES/ESCASAS</t>
  </si>
  <si>
    <t>MODERADAS</t>
  </si>
  <si>
    <t>ABUNDANTES</t>
  </si>
  <si>
    <t>AGUILAR ARREOLA JOSE DAVID</t>
  </si>
  <si>
    <t>ALDABALDE MARTINEZ SAUL</t>
  </si>
  <si>
    <t>ARREDONDO ORTIZ VIRTOR HUGO</t>
  </si>
  <si>
    <t>BOLAÑOS PALACIOS MIREYA</t>
  </si>
  <si>
    <t>CANO NAVA HUMBERTO</t>
  </si>
  <si>
    <t>CORDOBA BANDA MARIO FERNANDO</t>
  </si>
  <si>
    <t>CORREA CRUZ HUGO ABISAI</t>
  </si>
  <si>
    <t>CRUZ MARTINEZ EDUARDO MISAEL</t>
  </si>
  <si>
    <t>DE LA CRUZ PEREZ JUAN CARLOS</t>
  </si>
  <si>
    <t>DE LUNA MORALES ANGEL EDUARDO</t>
  </si>
  <si>
    <t>DEL AGUA SUAREZ JOSE ISRAEL</t>
  </si>
  <si>
    <t>ENRIQUEZ FAJARDO VICENTE ANTONIO</t>
  </si>
  <si>
    <t>GARCIA PACHUCA LUIS FERNANDO</t>
  </si>
  <si>
    <t>GOMEZ LUCIO JOSE MANUEL</t>
  </si>
  <si>
    <t>GOMEZ MARTINEZ CARLOS</t>
  </si>
  <si>
    <t>GONZALEZ BARRERA VICTOR MANUEL</t>
  </si>
  <si>
    <t>GONZALEZ CASAS LUIS EDUARDO</t>
  </si>
  <si>
    <t>GONZALEZ GONDINEZ LUIS ESTEBAN</t>
  </si>
  <si>
    <t>GONZALEZ RANGEL JOSE MAXIMILIANO</t>
  </si>
  <si>
    <t>GONZALEZ TOMAS SILVESTRE</t>
  </si>
  <si>
    <t>GRIJALVA HERRERA BENJAMIN</t>
  </si>
  <si>
    <t>GUZMAN SANABRIA CESAR</t>
  </si>
  <si>
    <t>HERNANDEZ BARRERA MARIA GUADALUPE</t>
  </si>
  <si>
    <t>HERNANDEZ DORANTES HUMBERTO</t>
  </si>
  <si>
    <t>HERNANDEZ HUERTA URIEL</t>
  </si>
  <si>
    <t>HERNANDEZ PEREZ ANGEL ALBERTO</t>
  </si>
  <si>
    <t>HERNANDEZ VILLANUEVA JOSE ROBERTO</t>
  </si>
  <si>
    <t>IBARRA FLORES JOSE MANUEL</t>
  </si>
  <si>
    <t>IBARRA LARA JULIO CESAR</t>
  </si>
  <si>
    <t>JIMENEZ GONZALEZ ROBERTO</t>
  </si>
  <si>
    <t>JIMENEZ MEDINA RAMIRO</t>
  </si>
  <si>
    <t>LUNA RODRIGUEZ AARON</t>
  </si>
  <si>
    <t>MARTINEZ GARCIA LUIS ANGEL</t>
  </si>
  <si>
    <t>MARTINEZ PEREZ ANTONIO</t>
  </si>
  <si>
    <t>MEDINA RODRIGUEZ MARTIN</t>
  </si>
  <si>
    <t>MEJIA HERNANDEZ JESUS DANIEL</t>
  </si>
  <si>
    <t>MERINO ENRIQUEZ ROBERTO EBER</t>
  </si>
  <si>
    <t>MIRANDA CUEVAS HUGO</t>
  </si>
  <si>
    <t>MORENO RESENDIZ MARCELO</t>
  </si>
  <si>
    <t>NIEVES TREJO ADRIAN</t>
  </si>
  <si>
    <t>OLVERA NIETO RODOLFO</t>
  </si>
  <si>
    <t>PAREDES TLANEPLANTA PASCUAL</t>
  </si>
  <si>
    <t>PEÑA SOTO JUAN CARLOS</t>
  </si>
  <si>
    <t>PEREZ GARGIA LUIS ANGEL</t>
  </si>
  <si>
    <t>PEREZ NIEVES JUAN ANTONIO</t>
  </si>
  <si>
    <t>QUINTANAR SANTOS JOSE EDUARDO</t>
  </si>
  <si>
    <t>RAMIREZ DE SANTIAGO IVAN ALEJANDRO</t>
  </si>
  <si>
    <t>RAMIREZ PEREZ ELISABET</t>
  </si>
  <si>
    <t>RAMOS RAMIREZ OSCAR FRANCISCO</t>
  </si>
  <si>
    <t>REYES CAMPOS VICTOR</t>
  </si>
  <si>
    <t>RODRIGUEZ POLO JOEL</t>
  </si>
  <si>
    <t>RODRIGUEZ RAMIREZ VICTOR MANUEL</t>
  </si>
  <si>
    <t>SERVIN ARREOLA JOSE FRANCISCO</t>
  </si>
  <si>
    <t>TELLO RAMIREZ BERTHA ALICIA</t>
  </si>
  <si>
    <t>TELLO RAMIREZ OSCAR WENSESLAO</t>
  </si>
  <si>
    <t>TOLEDO CHAVEZ ALEJANDRO DAVID</t>
  </si>
  <si>
    <t>TREJO DON HECTOR MIGUEL</t>
  </si>
  <si>
    <t>TREJO LOPEZ JOSE GUADALUPE</t>
  </si>
  <si>
    <t>TREJO TREJO GUSTAVO CRUZ</t>
  </si>
  <si>
    <t>VEGA RUIZ HECTOR MIGUEL</t>
  </si>
  <si>
    <t>VELA REYES JESUS GUSTAVO</t>
  </si>
  <si>
    <t>VELAZCO VELASCO ERICK ROBERTO</t>
  </si>
  <si>
    <t>VELAZQUEZ MORENO LORENZO</t>
  </si>
  <si>
    <t>VINIEGRA DIAZ LUIS EDUARDO</t>
  </si>
  <si>
    <t>ZAMORA NOGUEZ YONATAN</t>
  </si>
  <si>
    <t>ZARATE HERNANDEZ NEMESIO</t>
  </si>
  <si>
    <t>ZOTO SANCHEZ MARIO KEVIN</t>
  </si>
  <si>
    <t xml:space="preserve">Audición Normal </t>
  </si>
  <si>
    <t xml:space="preserve">Hipoacusia Neurosensorial, Leve , Sugestivo de Trauma Acústico crónico por ruido </t>
  </si>
  <si>
    <t>FEV1: 88%</t>
  </si>
  <si>
    <t>Hipoacusia Neurosensorial, Leve, Sugestivo de Trauma Acústico crónico por ruido</t>
  </si>
  <si>
    <t>Hipoacusia Neurosensorial, Profunda, De etiología a determinar</t>
  </si>
  <si>
    <t xml:space="preserve">Hipoacusia Neurosensorial, Leve , Sugestivo a Presbiacusia </t>
  </si>
  <si>
    <t xml:space="preserve">Hipoacusia Neurosensorial, Moderada , Sugestivo de Trauma Acústico crónico por ruido </t>
  </si>
  <si>
    <t>Hipoacusia Neurosensorial, Moderada, Sugestivo de Trauma Acústico crónico por ruido</t>
  </si>
  <si>
    <t>FEV1: 79%</t>
  </si>
  <si>
    <t>DISCRIMINACION DEL COLOR</t>
  </si>
  <si>
    <t>SOLDADURA</t>
  </si>
  <si>
    <t>MAQUINADOS</t>
  </si>
  <si>
    <t>ALMACEN F5</t>
  </si>
  <si>
    <t>PINTURA</t>
  </si>
  <si>
    <t>LOGISTICA</t>
  </si>
  <si>
    <t>Electrocardiograma en reposo sin datos de anormalidad al momento del estudio</t>
  </si>
  <si>
    <t>ANGEL MATA JOHAN EDGAR</t>
  </si>
  <si>
    <t>ARREDONDO ORTIZ VICTOR HUGO</t>
  </si>
  <si>
    <t>GONZALEZ GODINEZ LUIS ESTEBAN</t>
  </si>
  <si>
    <t>TORAX RADIOLOGICAMENTE NORMAL, SIN EVIDENCIA DE PATOLOGÍA AGUDA O EVOLUTIVA APARENTE.</t>
  </si>
  <si>
    <t>DESVIACION DEXTROCONVEXA LUMBOSACRA ( 5 ° ) CON LORDOSIS NORMAL Y CON ANGULO DE 38 °. PINZAMIENTO L5-S1. NO SE IDENTIFICAN FRACTURAS NI TUMORACIONES.</t>
  </si>
  <si>
    <t>DESVIACION DEXTROCONVEXA LUMBOSACRA ( 4 ° ) CON LORDOSIS NORMAL Y CON ANGULO DE 36 °. PINZAMIENTO L4-5-S1. NO SE IDENTIFICAN FRACTURAS NI TUMORACIONES.</t>
  </si>
  <si>
    <t>DESVIACION DEXTROCONVEXA LUMBOSACRA ( 4 ° ) CON LORDOSIS NORMAL Y CON ANGULO DE 38 °. NO SE IDENTIFICAN FRACTURAS NI TUMORACIONES. BASCULACION PELVICA DERECHA DE 2.0 cm.</t>
  </si>
  <si>
    <t>DESVIACION DEXTROCONVEXA LUMBOSACRA ( 4 ° ) CON HIPERLORDOSIS, INESTABILIDAD LUMBAR Y CON ANGULO DE 48°. PINZAMIENTO L5-S1 NO SE IDENTIFICAN FRACTURAS NI TUMORACIONES.</t>
  </si>
  <si>
    <t>PAREDES TLANEPANTLA PASCUAL</t>
  </si>
  <si>
    <t>DESVIACION DEXTROCONVEXA LUMBOSACRA ( 3° ) CON LORDOSIS NORMAL Y CON ANGULO DE 34°. PINZAMIENTO L5-S1. LUMBARIZACION DE S1. NO SE IDENTIFICAN FRACTURAS NI TUMORACIONES.</t>
  </si>
  <si>
    <t>DESVIACION DEXTROCONVEXA LUMBOSACRA ( 6 ° ) CON HIPERLORDOSIS, INESTABILIDAD LUMBAR Y CON ANGULO DE 44 °. LIGERO PINZAMIENTO L5-S1. ANTEROLISTESIS DE L5 GRADO I. NO SE IDENTIFICAN FRACTURAS NI TUMORACIONES. BASCULACION PELVICA DERECHA DE 1.4 cm.</t>
  </si>
  <si>
    <t>PEREZ GARCIA LUIS ANGEL</t>
  </si>
  <si>
    <t>DESVIACION LEVOCONVEXA LUMBOSACRA ( 3° ) CON LORDOSIS NORMAL Y CON ANGULO DE 32°. LIGERO PINZAMIENTO L5-S1. NO SE IDENTIFICAN FRACTURAS NI TUMORACIONES.</t>
  </si>
  <si>
    <t>DESVIACION LEVOCONVEXA LUMBOSACRA ( 5° ) CON LORDOSIS NORMAL Y CON ANGULO DE 32°. ESRECHAMIENTO L5-S1. OSTEOFITOSIS MARGIAL L1-2-3 NO SE IDENTIFICAN FRACTURAS NI TUMORACIONES. BASCULACION PELVICA DERECHA DE 1.4 cm.</t>
  </si>
  <si>
    <t>DESVIACION DEXTROCONVEXA LUMBOSACRA ( 5° ) CON LORDOSIS NORMAL Y CON ANGULO DE 30°. BOSTEZO Y PINZAMIENTO L5-S1. ACUÑAMIENTO DE L2 NO SE IDENTIFICAN FRACTURAS NI TUMORACIONES.</t>
  </si>
  <si>
    <t>DESVIACION LEVOCONVEXA LUMBOSACRA ( 5° ) CON LORDOSIS NORMAL Y CON ANGULO DE 30°. PINZAMIENTO L5-S1. NO SE IDENTIFICAN FRACTURAS NI TUMORACIONES.</t>
  </si>
  <si>
    <t>DESVIACION LEVOCONVEXA LUMBOSACRA ( 5° ) CON HIPERLORDOSIS, INESTABILIDAD LUMBAR Y CON ANGULO DE 48°. NO SE IDENTIFICAN FRACTURAS NI TUMORACIONES.</t>
  </si>
  <si>
    <t>DESVIACION LEVOCONVEXA LUMBOSACRA ( 4° ) CON LORDOSIS RECTIFICADA Y CON ANGULO DE 26°. ESTRECHAMIENTO L5-S1. NO SE IDENTIFICAN FRACTURAS NI TUMORACIONES.</t>
  </si>
  <si>
    <t>TORAX RADIOLOGICAMENTE NORMAL, SIN EVIDENCIA DE PATOLOGÍA AGUDA O EVOLUTIVA APARENTE. PROBABLE GRANULOMA DERECHO.</t>
  </si>
  <si>
    <t>DESVIACION LEVOCONVEXA LUMBOSACRA ( 5° ) CON HIPERLORDOSIS, INESTABILIDAD LUMBAR Y CON ANGULO DE 44°. ESTRECHAMIENTO L5-S1. NO SE IDENTIFICAN FRACTURAS NI TUMORACIONES.</t>
  </si>
  <si>
    <t>DESVIACION DEXTROCONVEXA LUMBOSACRA ( 4° ) CON LORDOSIS NORMAL Y CON ANGULO DE 28°. PINZAMIENTO L5-S1. NO SE IDENTIFICAN FRACTURAS NI TUMORACIONES.</t>
  </si>
  <si>
    <t>DESVIACION DEXTROCONVEXA LUMBOSACRA ( 5° ) CON HIPERLORDOSIS Y CON ANGULO DE 40°. PINZAMIENTO L5-S1. NO SE IDENTIFICAN FRACTURAS NI TUMORACIONES.</t>
  </si>
  <si>
    <t>TORAX RADIOLOGICAMENTE NORMAL, SIN EVIDENCIA DE PATOLOGÍA AGUDA O EVOLUTIVA APARENTE. PROBABLE PIERCING BASAL DERECHO.</t>
  </si>
  <si>
    <t>DESVIACION DEXTROCONVEXA LUMBOSACRA ( 9° ) CON LORDOSIS NORMAL Y CON ANGULO DE 32°. LIGERO PINZAMIENTO L5-S1. NO SE IDENTIFICAN FRACTURAS NI TUMORACIONES. BASCULACION PELVICA DERECHA DE 1.0 cm.</t>
  </si>
  <si>
    <t>DESVIACION DEXTROCONVEXA LUMBOSACRA ( 4° ) CON HIPERLORDOSIS, INESTABILIDAD LUMBAR Y CON ANGULO DE 45°. PINZAMIENTO L4-5. SACRALIZACION DE L5 CON MEGAAPOFISIS IZQ. FUSIONADA Y ESPACIO RUDIMENTARIO L5-S1. HIPOPLASIA DE ULTIMAS COSTILLAS. NO SE IDENTIFICAN FRACTURAS NI TUMORACIONES.</t>
  </si>
  <si>
    <t>DESVIACION LEVOCONVEXA LUMBOSACRA ( 3° ) CON HIPERLORDOSIS, INESTABILIDAD LUMBAR Y CON ANGULO DE 40°. LIGERO ESTRECHAMIENTO L5-S1 / NO SE IDENTIFICAN FRACTURAS NI TUMORACIONES.</t>
  </si>
  <si>
    <t>TORAX RADIOLOGICAMENTE NORMAL, SIN EVIDENCIA DE PATOLOGÍA AGUDA O EVOLUTIVA APARENTE. / PROBABLES GRANULOMAS DERECHOS.</t>
  </si>
  <si>
    <t>DESVIACION LEVOCONVEXA LUMBOSACRA ( 3° ) CON LORDOSIS NORMAL Y CON ANGULO DE 30°. PINZAMIENTO L5-S1 / NO SE IDENTIFICAN FRACTURAS NI TUMORACIONES.</t>
  </si>
  <si>
    <t>TORAX RADIOLOGICAMENTE NORMAL, SIN EVIDENCIA DE PATOLOGÍA AGUDA O EVOLUTIVA APARENTE. / PROBABLE GRANULOMA DERECHO.</t>
  </si>
  <si>
    <t>DESVIACION DEXTROCONVEXA LUMBOSACRA ( 6° ) CON HIPERLORDOSIS, INESTABILIDD LUMBAR Y CON ANGULO DE 48°. PINZAMIENTO L5-S1 / NO SE IDENTIFICAN FRACTURAS NI TUMORACIONES. / BASCULACION PELVICA DERECHA DE 1.8 cm.</t>
  </si>
  <si>
    <t>DESVIACION DEXTROCONVEXA LUMBOSACRA ( 4° ) CON HIPERLORDOSIS, INESTABILIDAD LUMBAR Y CON ANGULO DE 50°. PINZAMIENTO L4-5-S1. / NO SE IDENTIFICAN FRACTURAS NI TUMORACIONES.</t>
  </si>
  <si>
    <t>DESVIACION DEXTROCONVEXA LUMBOSACRA ( 2° ) CON HIPERLORDOSIS Y CON ANGULO DE 40°. BOSTEZO L-5-S1. / NO SE IDENTIFICAN FRACTURAS NI TUMORACIONES.</t>
  </si>
  <si>
    <t>DESVIACION DEXTROCONVEXA LUMBOSACRA ( 2° ) CON LORDOSIS NORMAL Y CON ANGULO DE 30°. FIJADORES TRANSPEDICULARES Y ESPACIADORES L4-5-S1. / NO SE IDENTIFICAN FRACTURAS NI TUMORACIONES.</t>
  </si>
  <si>
    <t>VELAZCO VELAZCO ERICK ROBERTO</t>
  </si>
  <si>
    <t>DESVIACION DEXTROCONVEXA LUMBOSACRA ( 6° ) CON HIPERLORDOSIS Y CON ANGULO DE 40°. PINZAMIENTO L-5-S1. / NO SE IDENTIFICAN FRACTURAS NI TUMORACIONES.</t>
  </si>
  <si>
    <t>DESVIACION DEXTROCONVEXA LUMBOSACRA ( 6° ) CON LORDOSIS NORMAL Y CON ANGULO DE 36°. LIGERO PINZAMIENTO L5-S1. L1 LIGERAMENTE ACUÑADA. / NO SE IDENTIFICAN FRACTURAS NI TUMORACIONES. / BASCULACION PELVICA DERECHA DE 1.8 cm.</t>
  </si>
  <si>
    <t>DESVIACION DEXTROCONVEXA LUMBOSACRA ( 4° ) CON LORDOSIS NORMAL Y CON ANGULO DE 36°. LIGERO ESTRECHAMIENTO L-5-S1. / NO SE IDENTIFICAN FRACTURAS NI TUMORACIONES.</t>
  </si>
  <si>
    <t>DESVIACION DEXTROCONVEXA LUMBOSACRA ( 3° ) CON HIPERLORDOSIS, INESTABILIDAD LUMBAR Y CON ANGULO DE 44°. LIGERO PINZAMIENTO L5-S1. / NO SE IDENTIFICAN FRACTURAS NI TUMORACIONES.</t>
  </si>
  <si>
    <t>DESVIACION DEXTROCONVEXA LUMBOSACRA ( 3° ) CON HIPERLORDOSIS, INESTABILIDAD LUMBAR Y CON ANGULO DE 40°. ESTRECHAMIENTO L-5-S1. / NO SE IDENTIFICAN FRACTURAS NI TUMORACIONES.</t>
  </si>
  <si>
    <t>DESVIACION DEXTROCONVEXA LUMBOSACRA ( 4° ) CON LORDOSIS NORMAL Y CON ANGULO DE 36°. ANTEROLISTESIS DE L5 GRADO I. / NO SE IDENTIFICAN FRACTURAS NI TUMORACIONES.</t>
  </si>
  <si>
    <t>DESVIACION LEVOCONVEXA LUMBOSACRA (3 ° ) CON HIPERLORDOSIS, INESTABILIDAD LUMBAR Y CON ANGULO DE 45 °. BOSTEZO Y PINZAMIENTO L5-S1 NO SE IDENTIFICAN FRACTURAS NI TUMORACIONES.</t>
  </si>
  <si>
    <t>DESVIACION LEVOCONVEXA LUMBOSACRA ( 3 ° ) CON LORDOSIS NORMAL Y CON ANGULO DE 36 °. NO SE IDENTIFICAN FRACTURAS NI TUMORACIONES.</t>
  </si>
  <si>
    <t>DESVIACION DEXTROCONVEXA LUMBOSACRA ( 3 ° ) CON HIPERLORDOSIS Y CON ANGULO DE 40 °. ESTRECHAMIENTO L4-5-S1 NO SE IDENTIFICAN FRACTURAS NI TUMORACIONES.</t>
  </si>
  <si>
    <t>DESVIACION LEVOCONVEXA LUMBOSACRA ( 3 ° ) CON LORDOSIS NORMAL Y CON ANGULO DE 30 °. LIGERO PINZAMIENTO L5-S1. NO SE IDENTIFICAN FRACTURAS NI TUMORACIONES.</t>
  </si>
  <si>
    <t>DESVIACION DEXTROCONVEXA LUMBOSACRA ( 5 ° ) CON HIPERLORDOSIS Y CON ANGULO DE 40 °. PINZAMIENTO L-5-S1 NO SE IDENTIFICAN FRACTURAS NI TUMORACIONES.</t>
  </si>
  <si>
    <t>DESVIACION DEXTROCONVEXA LUMBOSACRA ( 2 ° ) CON HIPERLORDOSIS, INESTABILIDAD LUMBAR Y CON ANGULO DE 46 °. PINZAMIENTO L5-S1. NO SE IDENTIFICAN FRACTURAS NI TUMORACIONES.</t>
  </si>
  <si>
    <t>DESVIACION DEXTROCONVEXA LUMBOSACRA ( 3 ° ) CON HIPERLORDOSIS, INESTABILIDAD LUMBAR Y CON ANGULO DE 45 °. NO SE IDENTIFICAN FRACTURAS NI TUMORACIONES.</t>
  </si>
  <si>
    <t>DESVIACION DEXTROCONVEXA LUMBOSACRA ( 3 ° ) CON HIPERLORDOSIS Y CON ANGULO DE 44 °. NO SE IDENTIFICAN FRACTURAS NI TUMORACIONES.</t>
  </si>
  <si>
    <t>DESVIACION LEVOCONVEXA LUMBOSACRA ( 5 ° ) CON HIPERLORDOSIS, INESTABILIDAD LUMBAR Y CON ANGULO DE 44 °. PINZAMIENTO L5-S1. NO SE IDENTIFICAN FRACTURAS NI TUMORACIONES. BASCULACION PELVICA IZQUIERDA DE 1.0 cm.</t>
  </si>
  <si>
    <t>DESVIACION DEXTROCONVEXA LUMBOSACRA ( 6 ° ) CON HIPERLORDOSIS Y CON ANGULO DE 40 °. BOSTEZO L5-S1. NO SE IDENTIFICAN FRACTURAS NI TUMORACIONES.</t>
  </si>
  <si>
    <t>DESVIACION LEVOCONVEXA LUMBOSACRA ( 5 ° ) CON LORDOSIS NORMAL Y CON ANGULO DE 36 °. PINZAMIENTO L5-S1. NO SE IDENTIFICAN FRACTURAS NI TUMORACIONES.</t>
  </si>
  <si>
    <t>DESVIACION DEXTROCONVEXA LUMBOSACRA ( 4 ° ) CON LORDOSIS NORMAL Y CON ANGULO DE 34 °. LIGERO ESTRECHAMIENTO L5-S1. NO SE IDENTIFICAN FRACTURAS NI TUMORACIONES.</t>
  </si>
  <si>
    <t>DESVIACION DEXTROCONVEXA LUMBOSACRA ( 3 ° ) CON HIPERLORDOSIS Y CON ANGULO DE 40 °. PINZAMIENTO L-5-S1 NO SE IDENTIFICAN FRACTURAS NI TUMORACIONES.</t>
  </si>
  <si>
    <t>DESVIACION DEXTROCONVEXA LUMBOSACRA ( 3 ° ) CON LORDOSIS NORMAL Y CON ANGULO DE 36 °. NO SE IDENTIFICAN FRACTURAS NI TUMORACIONES.</t>
  </si>
  <si>
    <t>DESVIACION DEXTROCONVEXA LUMBOSACRA ( 3 ° ) CON HIPERLORDOSIS, INESTABILIDAD LUMBAR Y CON ANGULO DE 44 °. PINZAMIENTO L5-S1. NO SE IDENTIFICAN FRACTURAS NI TUMORACIONES.</t>
  </si>
  <si>
    <t>DESVIACION LEVOCONVEXA LUMBOSACRA ( 4 ° ) CON HIPERLORDOSIS, INESTABILIDAD LUMBAR Y CON ANGULO DE 44 °. PINZAMIENTO L5-S1. NO SE IDENTIFICAN FRACTURAS NI TUMORACIONES.</t>
  </si>
  <si>
    <t>DESVIACION LEVOCONVEXA LUMBOSACRA ( 3 ° ) CON LORDOSIS NORMAL, Y CON ANGULO DE 36 °. BOSTEZO L5-S1. NO SE IDENTIFICAN FRACTURAS NI TUMORACIONES.</t>
  </si>
  <si>
    <t>TORAX RADIOLOGICAMENTE NORMAL, SIN EVIDENCIA DE PATOLOGÍA AGUDA O EVOLUTIVA APARENTE. PROB. GRANULOMA PARAHILIAR DERECHO.</t>
  </si>
  <si>
    <t>DESVIACION LEVOCONVEXA LUMBOSACRA ( 3° ) CON HIPERLORDOSIS, INESTABILIDAD LUMBAR Y CON ANGULO DE 45°. BOSTEZO Y LIGERO PINZAMIENTO L5-S1. NO SE IDENTIFICAN FRACTURAS NI TUMORACIONES.</t>
  </si>
  <si>
    <t>DESVIACION DEXTROCONVEXA LUMBOSACRA ( 4 ° ) CON HIPERLORDOSIS, INESTABILIDAD LUMBAR Y CON ANGULO DE 58 °. LIGERO PINZAMIENTO L5-S1. NO SE IDENTIFICAN FRACTURAS NI TUMORACIONES. BASCULACION PELVICA DERECHA DE 1.4 cm.</t>
  </si>
  <si>
    <t>DESVIACION LEVOCONVEXA LUMBOSACRA ( 4 ) CON LORDOSIS NORMAL Y CON ANGULO DE 30°. LIGERO PINZAMIENTO L5-S1. LUMBARIZACION DE S1, CON PINZAMIENTO S1-2 NO SE IDENTIFICAN FRACTURAS NI TUMORACIONES.</t>
  </si>
  <si>
    <t>DESVIACION DEXTROCONVEXA LUMBOSACRA ( 5 ° ) CON HIPERLORDOSIS, INESTABILIDAD LUMBAR, Y CON ANGULO DE 45 °. PINZAMIENTO L5-S1. NO SE IDENTIFICAN FRACTURAS NI TUMORACIONES. BASCULACION PELVICA DERECHA DE 1.0 cm.</t>
  </si>
  <si>
    <t>DESVIACION DEXTROCONVEXA LUMBOSACRA ( 3 ° ) CON HIPERLORDOSIS Y CON ANGULO DE 42 °. PINZAMIENTO L5-S1. NO SE IDENTIFICAN FRACTURAS NI TUMORACIONES.</t>
  </si>
  <si>
    <t>TORAX RADIOLOGICAMENTE NORMAL, SIN EVIDENCIA DE PATOLOGÍA AGUDA O EVOLUTIVA APARENTE. PROBABLE GRANULOMA SUPERIOR IZQUIERDO.</t>
  </si>
  <si>
    <t>DESVIACION DEXTROCONVEXA LUMBOSACRA ( 5 ° ) CON LORDOSIS NORMAL, Y CON ANGULO DE 36 °. LIGERO PINZAMIENTO L5-S1. NO SE IDENTIFICAN FRACTURAS NI TUMORACIONES.</t>
  </si>
  <si>
    <t>DESVIACION DEXTROCONVEXA LUMBOSACRA ( 4 ) CON HIPERLORDOSIS, INESTABILIDAD LUMBAR Y CON ANGULO DE 44°. NO SE IDENTIFICAN FRACTURAS NI TUMORACIONES.</t>
  </si>
  <si>
    <t>DESVIACION LEVOCONVEXA LUMBOSACRA ( 3 ° ) CON HIPERLORDOSIS, INESTABILIDAD LUMBAR, Y CON ANGULO DE 52 °. PINZAMIENTO L5-S1. LUMBARIZACION DE S1 CON DISRAFIA Y DISPLASIA DE SU ARCO POSTERIOR NO SE IDENTIFICAN FRACTURAS NI TUMORACIONES.</t>
  </si>
  <si>
    <t>DESVIACION DEXTROCONVEXA LUMBOSACRA ( 3 ° ) CON HIPERLORDOSIS Y CON ANGULO DE 40 °. ESTRECHAMIENTO Y PINZAMIENTO L5-S1. NO SE IDENTIFICAN FRACTURAS NI TUMORACIONES.</t>
  </si>
  <si>
    <t>DESVIACION DEXTROCONVEXA LUMBOSACRA ( 3 ° ) CON HIPERLORDOSIS, Y CON ANGULO DE 42 °. BOSTEZO Y LIGERO PINZAMIENTO L5-S1. NO SE IDENTIFICAN FRACTURAS NI TUMORACIONES.</t>
  </si>
  <si>
    <t>DESVIACION DEXTROCONVEXA LUMBOSACRA ( 4 ° ) CON LORDOSIS NORMAL Y CON ANGULO DE 36 °. ESTRECHAMIENTO L5-S1. NO SE IDENTIFICAN FRACTURAS NI TUMORACIONES.</t>
  </si>
  <si>
    <t>DESVIACION DEXTROCONVEXA LUMBOSACRA ( 3 ° ) CON LORDOSIS NORMAL Y CON ANGULO DE 30 °. ESTRECHAMIENTO Y PINZAMIENTO L5-S1. NO SE IDENTIFICAN FRACTURAS NI TUMORACIONES.</t>
  </si>
  <si>
    <t>DESVIACION DEXTROCONVEXA LUMBOSACRA ( 4 ° ) CON HIPERLORDOSIS Y CON ANGULO DE 45 °. PINZAMIENTO L5-S1. NO SE IDENTIFICAN FRACTURAS NI TUMORACIONES.</t>
  </si>
  <si>
    <t>DESVIACION DEXTROCONVEXA LUMBOSACRA ( 2 ° ) CON HIPERLORDOSIS Y CON ANGULO DE 40 °. PINZAMIENTO L5-S1. NO SE IDENTIFICAN FRACTURAS NI TUMORACIONES.</t>
  </si>
  <si>
    <t>DESVIACION LEVOCONVEXA LUMBOSACRA ( 4 ° ) CON HIPERLORDOSIS Y CON ANGULO DE 40 °. PINZAMIENTO L5-S1. NO SE IDENTIFICAN FRACTURAS NI TUMORACIONES.</t>
  </si>
  <si>
    <t>DESVIACION DEXTROCONVEXA LUMBOSACRA ( 7 ° ) CON LORDOSIS NORMAL Y CON ANGULO DE 38 °. ESTRECHAMIENTO L5-S1 Y OSTEOFITOSIS. NO SE IDENTIFICAN FRACTURAS NI TUMORACIONES. BASCULACION PELVICA DERECHA DE 2.0 cm</t>
  </si>
  <si>
    <t>DESVIACION LEVOCONVEXA LUMBOSACRA ( 4 ° ) CON LORDOSIS NORMAL, Y CON ANGULO DE 34 °. LIGERO PINZAMIENTO L5-S1. NO SE IDENTIFICAN FRACTURAS NI TUMORACIONES.</t>
  </si>
  <si>
    <t>DESVIACION LEVOCONVEXA LUMBOSACRA ( 5 ° ) CON HIPERLORDOSIS Y CON ANGULO DE 40 °. PINZAMIENTO L5-S1 Y OSTEOFITOSIS. NO SE IDENTIFICAN FRACTURAS NI TUMORACIONES. BASCULACION PELVICA IZQUIERDA DE 1.0 cm</t>
  </si>
  <si>
    <t>DESVIACION DEXTROCONVEXA LUMBOSACRA ( 3 ° ) CON HIPERLORDOSIS Y CON ANGULO DE 42 °. ESTRECHAMIENTO Y PINZAMIENTO L5-S1. NO SE IDENTIFICAN FRACTURAS NI TUMORACIONES.</t>
  </si>
  <si>
    <t>DESVIACION DEXTROCONVEXA LUMBOSACRA ( 4 ° ) CON HIPERLORDOSIS, Y CON ANGULO DE 40 °. LIGERO PINZAMIENTO L5-S1. NO SE IDENTIFICAN FRACTURAS NI TUMORACIONES.</t>
  </si>
  <si>
    <t xml:space="preserve">Bradicardia sinusal, resto del estudio sin datos de anormalidad al momento del estudio </t>
  </si>
  <si>
    <t xml:space="preserve">TAQUICARDIA SINUSAL, RESTO DEL ESTUDIO SIN DATOS DE ANORMALIDAD EL MOMENTO </t>
  </si>
  <si>
    <t>3 AÑOS 9 MESES</t>
  </si>
  <si>
    <t>3 AÑOS 6 MESES</t>
  </si>
  <si>
    <t xml:space="preserve">2 AÑOS </t>
  </si>
  <si>
    <t xml:space="preserve">4 AÑOS </t>
  </si>
  <si>
    <t>1 AÑO</t>
  </si>
  <si>
    <t>4 AÑOS 10 MESES</t>
  </si>
  <si>
    <t>4 AÑOS</t>
  </si>
  <si>
    <t>3 AÑOS</t>
  </si>
  <si>
    <t xml:space="preserve">3 AÑOS </t>
  </si>
  <si>
    <t>5 AÑOS</t>
  </si>
  <si>
    <t>2 AÑOS</t>
  </si>
  <si>
    <t>11 MESES</t>
  </si>
  <si>
    <t xml:space="preserve">4 AÑOS 6 MESES </t>
  </si>
  <si>
    <t xml:space="preserve">5 AÑOS </t>
  </si>
  <si>
    <t>2 AÑOS 7 MESES</t>
  </si>
  <si>
    <t>4 AÑOS 5 MESES</t>
  </si>
  <si>
    <t xml:space="preserve">4 AÑOS 11 MESES </t>
  </si>
  <si>
    <t>6 MESES</t>
  </si>
  <si>
    <t xml:space="preserve">4 AÑOS 5 MESES </t>
  </si>
  <si>
    <t>3 AÑOS 1 MES</t>
  </si>
  <si>
    <t>2 AÑOS 6 MESES</t>
  </si>
  <si>
    <t xml:space="preserve">2 AÑOS 11 MESES </t>
  </si>
  <si>
    <t>9 MESES</t>
  </si>
  <si>
    <t>1 AÑO 4 MESES</t>
  </si>
  <si>
    <t>4 AÑOS 4 MESES</t>
  </si>
  <si>
    <t xml:space="preserve">3 AÑOS 11 MESES </t>
  </si>
  <si>
    <t xml:space="preserve">8 AÑOS </t>
  </si>
  <si>
    <t>SEGURIDAD E HIGIENE</t>
  </si>
  <si>
    <t>ALMACEN</t>
  </si>
  <si>
    <t>13 AÑOS</t>
  </si>
  <si>
    <t>2 AÑOS 2 MESES</t>
  </si>
  <si>
    <t>7 AÑOS</t>
  </si>
  <si>
    <t>3 AÑOS 10 MESES</t>
  </si>
  <si>
    <t>FATIGA AUDITIVA</t>
  </si>
  <si>
    <t>LEVE TA</t>
  </si>
  <si>
    <t>MODERADA TA</t>
  </si>
  <si>
    <t>NO RELACIONADA A RUIDO LABORAL</t>
  </si>
  <si>
    <t>ANFETA</t>
  </si>
  <si>
    <t>COCA</t>
  </si>
  <si>
    <t>MARIHUA</t>
  </si>
  <si>
    <t>OPIAC</t>
  </si>
  <si>
    <t>METANF</t>
  </si>
  <si>
    <t>28 A</t>
  </si>
  <si>
    <t>1.0</t>
  </si>
  <si>
    <t>AUSENTES</t>
  </si>
  <si>
    <t>URATOS AMORFOS ESCASOS</t>
  </si>
  <si>
    <t>NEGATIVO</t>
  </si>
  <si>
    <t>44 A</t>
  </si>
  <si>
    <t>0.9</t>
  </si>
  <si>
    <t>38 A</t>
  </si>
  <si>
    <t>ESCASAS</t>
  </si>
  <si>
    <t>21 A</t>
  </si>
  <si>
    <t>1.1</t>
  </si>
  <si>
    <t>30 A</t>
  </si>
  <si>
    <t>1.3</t>
  </si>
  <si>
    <t>URATOS AMORFOS MODERADOS</t>
  </si>
  <si>
    <t>36 A</t>
  </si>
  <si>
    <t>0.8</t>
  </si>
  <si>
    <t>27 A</t>
  </si>
  <si>
    <t>FOSFATOS AMORFOS ABUNDANTES</t>
  </si>
  <si>
    <t>33 A</t>
  </si>
  <si>
    <t>42 A</t>
  </si>
  <si>
    <t>1.2</t>
  </si>
  <si>
    <t>45 A</t>
  </si>
  <si>
    <t>0.6</t>
  </si>
  <si>
    <t>43 A</t>
  </si>
  <si>
    <t>32 A</t>
  </si>
  <si>
    <t>29 A</t>
  </si>
  <si>
    <t>26 A</t>
  </si>
  <si>
    <t>37 A</t>
  </si>
  <si>
    <t>FOSFATOS AMORFOS ESCASOS</t>
  </si>
  <si>
    <t>35 A</t>
  </si>
  <si>
    <t>39 A</t>
  </si>
  <si>
    <t>41 A</t>
  </si>
  <si>
    <t>URATOS AMORFOS ABUNDANTES</t>
  </si>
  <si>
    <t>22 A</t>
  </si>
  <si>
    <t>0.7</t>
  </si>
  <si>
    <t>OXALATOS DE CALCIO DIHIDRATADOS ESCASOS</t>
  </si>
  <si>
    <t>49 A</t>
  </si>
  <si>
    <t>OXALATOS DE CALCIO DIHIDRATADOS ABUNDANTES</t>
  </si>
  <si>
    <t>19 A</t>
  </si>
  <si>
    <t>34 A</t>
  </si>
  <si>
    <t>0.15</t>
  </si>
  <si>
    <t>40 A</t>
  </si>
  <si>
    <t>48 A</t>
  </si>
  <si>
    <t>24.2</t>
  </si>
  <si>
    <t>51.8</t>
  </si>
  <si>
    <t>22.2</t>
  </si>
  <si>
    <t>47.6</t>
  </si>
  <si>
    <t>50 A</t>
  </si>
  <si>
    <t>22.4</t>
  </si>
  <si>
    <t>48.0</t>
  </si>
  <si>
    <t>OXALATOS DE CALCIO DIHIDRATADOS MODERADOS</t>
  </si>
  <si>
    <t>31 A</t>
  </si>
  <si>
    <t>0.3</t>
  </si>
  <si>
    <t>25 A</t>
  </si>
  <si>
    <t>2.8</t>
  </si>
  <si>
    <t>0.5</t>
  </si>
  <si>
    <t>55 A</t>
  </si>
  <si>
    <t>Cuenta de AGUDEZA VISUAL</t>
  </si>
  <si>
    <t>Cuenta de CAMPOS VISUALES</t>
  </si>
  <si>
    <t>ACROMATOPSIA</t>
  </si>
  <si>
    <t>Cuenta de DISCRIMINACION DEL COLOR</t>
  </si>
  <si>
    <t>DESVIACIÓN DEXTROCONVEXA LUMBOSACRA (2º),     (Angulo de Ferguson 34 º).    DISMINUCION DE L5-S1.NO SE IDENTIFICAN FRACTURAS NI LISTESIS.</t>
  </si>
  <si>
    <t>TÓRAX RADIOLÓGICAMENTE NORMAL, SIN PATOLOGÍA AGUDA APARENTE</t>
  </si>
  <si>
    <t xml:space="preserve">DESVIACIÓN DEXTROCONVEXA LUMBOSACRA (2º),  CON  HIPERLORDOSIS   (Angulo de Ferguson   48 º).    BOSTEZO ANTERIOR DE L5S1. NO SE IDENTIFICAN FRACTURAS NI LISTESIS. </t>
  </si>
  <si>
    <t>1.- CUELLO CORTO. 2.- HIPERCIFOSIS CERVICAL. 3.- HIPERLORDOSIS. 4.- GENU VALGO. 5.- HALLUX VALGUX.</t>
  </si>
  <si>
    <t>1.- ASCENSO DE HOMBRO IZQUIERDO. 2.- HIPERCIFOSIS CERVICAL. 3.- HIPERLORDOSIS.</t>
  </si>
  <si>
    <t>1.-HIPERLORDOSIS 2.-GENU RECURVATUM.</t>
  </si>
  <si>
    <t>1.- HIPERLORDOSIS.</t>
  </si>
  <si>
    <t>1.- GENUVARO. 2.- HIPERLORDOSIS.</t>
  </si>
  <si>
    <t>1.- HIPERLORDOSIS. 2.- ANTEVERSION PELVICA.</t>
  </si>
  <si>
    <t>1.-HIPERLORDOSIS 2.- PIE PLANO</t>
  </si>
  <si>
    <t>1.- HIPERLORDOSIS</t>
  </si>
  <si>
    <t>1.- PIE PLANO.</t>
  </si>
  <si>
    <t>1.- HIPERCIFOSIS CERVICAL. 2.- ASCENSO DE PLIEGUE DE GLUTEO IZQUIERDO 3.- LORDOSIS LUMBAR</t>
  </si>
  <si>
    <t>1.- ANTEPULSION DE HOMBRO DERECHO. 2.- HIPERLORDOSIS.</t>
  </si>
  <si>
    <t>1.- HIPERLORDOSIS 2.- PIE PLANO</t>
  </si>
  <si>
    <t>1.- LUMBALGIA</t>
  </si>
  <si>
    <t>1.- LORDOSIS.</t>
  </si>
  <si>
    <t>1.- LORDOSIS, 2.- PIE PLANO 3.-LIMITACION EN LATERALIZACION Y EXTENSION.</t>
  </si>
  <si>
    <t>1.- HIPERLORDOSIS. 2.- GENU - RECURVATUM.</t>
  </si>
  <si>
    <t>1.- GENU VARO. 2.- ANTEPULSION DE CABEZA. 3.- ANTEVERSION DE CADERA.</t>
  </si>
  <si>
    <t>1.- HIPERLORDOSIS 2.- HIPERSIFOSIS.</t>
  </si>
  <si>
    <t>1.- LORDOSIS 2.- HIPERCIFOSIS 3.- ANTEVERSION DE CAREDA 4</t>
  </si>
  <si>
    <t>1.- LORDISIS .</t>
  </si>
  <si>
    <t>1.-GENU VARO, 2.- HIPERLORDOSIS</t>
  </si>
  <si>
    <t>1.- ESCOLIOSIS, 2.- HIPERLORDOSIS LUMBAR</t>
  </si>
  <si>
    <t>1.- GENUVALGO</t>
  </si>
  <si>
    <t>1.- GENU VARO 2.- PIE PLANO 3.- HIPERCIFOSIS EN COLUMNA CERVICAL</t>
  </si>
  <si>
    <t>1.- PIE PLANO. 2.- HIPERLORDOSIS LUMBAR. 3.- DESCENSO DE PLIEGUE DE GLUTEO DERECHO</t>
  </si>
  <si>
    <t>1.- PIE PLANO</t>
  </si>
  <si>
    <t>1.- HALLUX VALGUX PIE DERECHO</t>
  </si>
  <si>
    <t>1.- PIE PLANO 2.- ESCOLIOSIS DORSAL</t>
  </si>
  <si>
    <t>PIE PLANO</t>
  </si>
  <si>
    <t>1.- LUMBALGIA 2.- ESCOLIOSIS</t>
  </si>
  <si>
    <t>1.-GENUVARO. 2.- PIE PLANO 3.- ALLUX  VALGUX</t>
  </si>
  <si>
    <t xml:space="preserve"> 1.- HIPERCIFOSIS CERVICAL. 2.- HIPERLORDOSIS LUMBAR. 3.- PIE PLANO. 4.- ESCAPULAS ALADAS. 5.- CABEZA
LATERALIZADA A LA DERECHA Y CON INCLINACION ANTERIOR. 6.- HOMBRO DERECHO CON ASCENSO</t>
  </si>
  <si>
    <t>1.-  RODILLA VARO. 2.- PIE PLANO.</t>
  </si>
  <si>
    <t>1,- GENUVARO</t>
  </si>
  <si>
    <t>1,-HIPERLORDOSIS</t>
  </si>
  <si>
    <t>1,-LORDOSIS 2,-PIE PLANO</t>
  </si>
  <si>
    <t>1,-LORDOSIS 2,- RETROVERSION</t>
  </si>
  <si>
    <t>1,-HIPERLORDOSIS 2,-ANTEVERSION PELVICA 3,- GENU RECURVATUM</t>
  </si>
  <si>
    <t>1,-ALINEACION POSTURAL NORMAL</t>
  </si>
  <si>
    <t>1,-NEUTRAL</t>
  </si>
  <si>
    <t>1,-ALINEACION POSTURAL NORMAL.</t>
  </si>
  <si>
    <t>1,- LORDOSIS</t>
  </si>
  <si>
    <t>1,- PIE PLANO 2,-HIPERLORDOSIS 3,- GENU VARO 4,-CUELLO CORTO 5,-LIGERA LIMITACION A LA FLEXION Y EXTENSION</t>
  </si>
  <si>
    <t>1,-ALLUX VALGUA 2,-CIFOSIS 3,-LUMBALGIA</t>
  </si>
  <si>
    <t>1,- GENUVARO 2,-PIE PLANO</t>
  </si>
  <si>
    <t>1,-GENU VARO 2,-CUELLO CORTO 3,-HIPERLORDOSIS</t>
  </si>
  <si>
    <t>1,-HIPERLORDORSIS</t>
  </si>
  <si>
    <t>1,- HIPERLORDOSIS 2,-HIPERCIFOSIS</t>
  </si>
  <si>
    <t>VALORACION POSTURAL</t>
  </si>
  <si>
    <t>1.-HIPERLORDOSIS LUMBAR. 2.- ANTEVERSION PELVICA. 3.- GENU-RECURVATUM</t>
  </si>
  <si>
    <t xml:space="preserve"> 1.- HIPERLORDOSIS LUMBAR, 2.- ANTEVERSION PELVICA, 3.- GENU RECURVATUM.</t>
  </si>
  <si>
    <t xml:space="preserve">1.- HIPERLORDOSIS LUMBAR. 2.- ANTEVERSION PELVICA. 3.- GENU-RECURVATUM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</si>
</sst>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 Light"/>
      <family val="2"/>
      <scheme val="major"/>
    </font>
    <font>
      <b/>
      <sz val="10"/>
      <color theme="0"/>
      <name val="Calibri"/>
      <family val="2"/>
      <scheme val="minor"/>
    </font>
    <font>
      <sz val="10"/>
      <color theme="1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00AFA9"/>
        <bgColor indexed="64"/>
      </patternFill>
    </fill>
    <fill>
      <patternFill patternType="solid">
        <fgColor rgb="FF5A2B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2A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24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0" borderId="0" xfId="0" applyAlignment="1">
      <alignment horizontal="left"/>
    </xf>
    <xf numFmtId="0" fontId="0" fillId="0" borderId="0" xfId="0" pivotButton="1"/>
    <xf numFmtId="0" fontId="0" fillId="0" borderId="6" xfId="0" applyBorder="1"/>
    <xf numFmtId="0" fontId="8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7" xfId="0" applyFont="1" applyBorder="1"/>
    <xf numFmtId="0" fontId="3" fillId="0" borderId="9" xfId="0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11" xfId="0" applyFont="1" applyBorder="1"/>
    <xf numFmtId="0" fontId="9" fillId="3" borderId="6" xfId="0" applyFont="1" applyFill="1" applyBorder="1"/>
    <xf numFmtId="0" fontId="9" fillId="3" borderId="0" xfId="0" applyFont="1" applyFill="1"/>
    <xf numFmtId="0" fontId="9" fillId="3" borderId="10" xfId="0" applyFont="1" applyFill="1" applyBorder="1"/>
    <xf numFmtId="0" fontId="0" fillId="0" borderId="15" xfId="0" applyBorder="1"/>
    <xf numFmtId="0" fontId="0" fillId="0" borderId="17" xfId="0" applyBorder="1"/>
    <xf numFmtId="0" fontId="7" fillId="0" borderId="14" xfId="0" applyFont="1" applyBorder="1"/>
    <xf numFmtId="0" fontId="7" fillId="0" borderId="16" xfId="0" applyFont="1" applyBorder="1"/>
    <xf numFmtId="0" fontId="9" fillId="3" borderId="11" xfId="0" applyFont="1" applyFill="1" applyBorder="1"/>
    <xf numFmtId="0" fontId="9" fillId="3" borderId="12" xfId="0" applyFont="1" applyFill="1" applyBorder="1"/>
    <xf numFmtId="0" fontId="9" fillId="3" borderId="13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2" borderId="7" xfId="0" applyFont="1" applyFill="1" applyBorder="1"/>
    <xf numFmtId="0" fontId="9" fillId="2" borderId="8" xfId="0" applyFont="1" applyFill="1" applyBorder="1"/>
    <xf numFmtId="0" fontId="9" fillId="2" borderId="9" xfId="0" applyFont="1" applyFill="1" applyBorder="1"/>
    <xf numFmtId="0" fontId="9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9" borderId="19" xfId="0" applyFont="1" applyFill="1" applyBorder="1"/>
    <xf numFmtId="0" fontId="3" fillId="4" borderId="19" xfId="0" applyFont="1" applyFill="1" applyBorder="1"/>
    <xf numFmtId="0" fontId="3" fillId="6" borderId="19" xfId="0" applyFont="1" applyFill="1" applyBorder="1"/>
    <xf numFmtId="0" fontId="3" fillId="10" borderId="1" xfId="0" applyFont="1" applyFill="1" applyBorder="1"/>
    <xf numFmtId="0" fontId="7" fillId="0" borderId="20" xfId="0" applyFont="1" applyBorder="1"/>
    <xf numFmtId="0" fontId="0" fillId="0" borderId="1" xfId="0" applyBorder="1" applyAlignment="1">
      <alignment horizontal="center" vertical="center" wrapText="1"/>
    </xf>
    <xf numFmtId="9" fontId="10" fillId="0" borderId="1" xfId="2" applyFont="1" applyBorder="1" applyAlignment="1">
      <alignment horizontal="center" vertical="center" wrapText="1"/>
    </xf>
    <xf numFmtId="0" fontId="9" fillId="0" borderId="0" xfId="0" applyFont="1"/>
    <xf numFmtId="0" fontId="9" fillId="0" borderId="12" xfId="0" applyFont="1" applyBorder="1"/>
    <xf numFmtId="9" fontId="10" fillId="0" borderId="1" xfId="2" applyFont="1" applyFill="1" applyBorder="1" applyAlignment="1">
      <alignment horizontal="center" vertical="center" wrapText="1"/>
    </xf>
    <xf numFmtId="0" fontId="10" fillId="0" borderId="1" xfId="1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1" fontId="7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9" fontId="10" fillId="11" borderId="1" xfId="2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2" fontId="7" fillId="0" borderId="1" xfId="0" applyNumberFormat="1" applyFont="1" applyBorder="1" applyAlignment="1">
      <alignment wrapText="1"/>
    </xf>
    <xf numFmtId="2" fontId="7" fillId="11" borderId="1" xfId="0" applyNumberFormat="1" applyFont="1" applyFill="1" applyBorder="1" applyAlignment="1">
      <alignment wrapText="1"/>
    </xf>
    <xf numFmtId="2" fontId="7" fillId="6" borderId="1" xfId="0" applyNumberFormat="1" applyFont="1" applyFill="1" applyBorder="1" applyAlignment="1">
      <alignment wrapText="1"/>
    </xf>
    <xf numFmtId="2" fontId="0" fillId="0" borderId="0" xfId="0" applyNumberFormat="1"/>
    <xf numFmtId="1" fontId="0" fillId="0" borderId="0" xfId="0" applyNumberFormat="1"/>
    <xf numFmtId="2" fontId="7" fillId="4" borderId="1" xfId="0" applyNumberFormat="1" applyFont="1" applyFill="1" applyBorder="1" applyAlignment="1">
      <alignment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2" fontId="7" fillId="5" borderId="1" xfId="0" applyNumberFormat="1" applyFont="1" applyFill="1" applyBorder="1" applyAlignment="1">
      <alignment wrapText="1"/>
    </xf>
    <xf numFmtId="1" fontId="7" fillId="6" borderId="1" xfId="0" applyNumberFormat="1" applyFont="1" applyFill="1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2" fontId="12" fillId="0" borderId="19" xfId="0" applyNumberFormat="1" applyFont="1" applyBorder="1" applyAlignment="1">
      <alignment horizontal="center" vertical="center" wrapText="1"/>
    </xf>
    <xf numFmtId="2" fontId="12" fillId="0" borderId="21" xfId="0" applyNumberFormat="1" applyFont="1" applyBorder="1" applyAlignment="1">
      <alignment horizontal="center" vertical="center" wrapText="1"/>
    </xf>
    <xf numFmtId="2" fontId="12" fillId="0" borderId="22" xfId="0" applyNumberFormat="1" applyFont="1" applyBorder="1" applyAlignment="1">
      <alignment horizontal="center" vertical="center" wrapText="1"/>
    </xf>
    <xf numFmtId="2" fontId="11" fillId="0" borderId="19" xfId="0" applyNumberFormat="1" applyFont="1" applyBorder="1" applyAlignment="1">
      <alignment horizontal="center"/>
    </xf>
    <xf numFmtId="2" fontId="11" fillId="0" borderId="21" xfId="0" applyNumberFormat="1" applyFont="1" applyBorder="1" applyAlignment="1">
      <alignment horizontal="center"/>
    </xf>
    <xf numFmtId="2" fontId="11" fillId="0" borderId="22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5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-0.24994659260841701"/>
        </patternFill>
      </fill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theme="8" tint="-0.24994659260841701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99FF"/>
      <color rgb="FFFF6600"/>
      <color rgb="FFFF0066"/>
      <color rgb="FF3366FF"/>
      <color rgb="FF800080"/>
      <color rgb="FF990033"/>
      <color rgb="FFFF3300"/>
      <color rgb="FFFF99FF"/>
      <color rgb="FF5A2B81"/>
      <color rgb="FF00AF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TRAUMA ACUSTICO POR AREA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</c:f>
              <c:strCache>
                <c:ptCount val="1"/>
                <c:pt idx="0">
                  <c:v>LEVE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GRAFICAS!$A$4:$A$9</c:f>
              <c:strCache>
                <c:ptCount val="6"/>
                <c:pt idx="0">
                  <c:v>LOGISTICA</c:v>
                </c:pt>
                <c:pt idx="1">
                  <c:v>MANTENIMIENTO</c:v>
                </c:pt>
                <c:pt idx="2">
                  <c:v>SOLDADURA</c:v>
                </c:pt>
                <c:pt idx="3">
                  <c:v>MAQUINADOS</c:v>
                </c:pt>
                <c:pt idx="4">
                  <c:v>ALMACEN F5</c:v>
                </c:pt>
                <c:pt idx="5">
                  <c:v>PINTURA</c:v>
                </c:pt>
              </c:strCache>
            </c:strRef>
          </c:cat>
          <c:val>
            <c:numRef>
              <c:f>GRAFICAS!$B$4:$B$9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0-4FA3-9DEF-32D968D97469}"/>
            </c:ext>
          </c:extLst>
        </c:ser>
        <c:ser>
          <c:idx val="1"/>
          <c:order val="1"/>
          <c:tx>
            <c:strRef>
              <c:f>GRAFICAS!$C$3</c:f>
              <c:strCache>
                <c:ptCount val="1"/>
                <c:pt idx="0">
                  <c:v>MODERADO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GRAFICAS!$A$4:$A$9</c:f>
              <c:strCache>
                <c:ptCount val="6"/>
                <c:pt idx="0">
                  <c:v>LOGISTICA</c:v>
                </c:pt>
                <c:pt idx="1">
                  <c:v>MANTENIMIENTO</c:v>
                </c:pt>
                <c:pt idx="2">
                  <c:v>SOLDADURA</c:v>
                </c:pt>
                <c:pt idx="3">
                  <c:v>MAQUINADOS</c:v>
                </c:pt>
                <c:pt idx="4">
                  <c:v>ALMACEN F5</c:v>
                </c:pt>
                <c:pt idx="5">
                  <c:v>PINTURA</c:v>
                </c:pt>
              </c:strCache>
            </c:strRef>
          </c:cat>
          <c:val>
            <c:numRef>
              <c:f>GRAFICAS!$C$4:$C$9</c:f>
              <c:numCache>
                <c:formatCode>General</c:formatCode>
                <c:ptCount val="6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0-4FA3-9DEF-32D968D974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3475392"/>
        <c:axId val="543481216"/>
      </c:barChart>
      <c:catAx>
        <c:axId val="54347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3481216"/>
        <c:crosses val="autoZero"/>
        <c:auto val="1"/>
        <c:lblAlgn val="ctr"/>
        <c:lblOffset val="100"/>
        <c:noMultiLvlLbl val="0"/>
      </c:catAx>
      <c:valAx>
        <c:axId val="54348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347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TRAUMA ACUSTICO POR ANTIGÜEDAD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GRAFICAS!$A$15:$A$17</c:f>
              <c:strCache>
                <c:ptCount val="3"/>
                <c:pt idx="0">
                  <c:v>&lt;1 AÑO</c:v>
                </c:pt>
                <c:pt idx="1">
                  <c:v>1-5 AÑOS</c:v>
                </c:pt>
                <c:pt idx="2">
                  <c:v>10-20 AÑOS</c:v>
                </c:pt>
              </c:strCache>
            </c:strRef>
          </c:cat>
          <c:val>
            <c:numRef>
              <c:f>GRAFICAS!$B$15:$B$17</c:f>
              <c:numCache>
                <c:formatCode>General</c:formatCode>
                <c:ptCount val="3"/>
                <c:pt idx="0">
                  <c:v>1</c:v>
                </c:pt>
                <c:pt idx="1">
                  <c:v>12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A-4524-8616-FE701920BC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7882480"/>
        <c:axId val="1267877904"/>
      </c:barChart>
      <c:catAx>
        <c:axId val="126788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7877904"/>
        <c:crosses val="autoZero"/>
        <c:auto val="1"/>
        <c:lblAlgn val="ctr"/>
        <c:lblOffset val="100"/>
        <c:noMultiLvlLbl val="0"/>
      </c:catAx>
      <c:valAx>
        <c:axId val="12678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788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TABAQUISMO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F9-418B-BB88-28D5B7144DBE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F9-418B-BB88-28D5B7144D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GRAFICAS!$A$35:$A$36</c:f>
              <c:strCache>
                <c:ptCount val="2"/>
                <c:pt idx="0">
                  <c:v>NEGADO</c:v>
                </c:pt>
                <c:pt idx="1">
                  <c:v>POSITIVO</c:v>
                </c:pt>
              </c:strCache>
            </c:strRef>
          </c:cat>
          <c:val>
            <c:numRef>
              <c:f>GRAFICAS!$B$35:$B$36</c:f>
              <c:numCache>
                <c:formatCode>General</c:formatCode>
                <c:ptCount val="2"/>
                <c:pt idx="0">
                  <c:v>51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F9-418B-BB88-28D5B7144D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9488256"/>
        <c:axId val="1319484928"/>
      </c:barChart>
      <c:catAx>
        <c:axId val="131948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9484928"/>
        <c:crosses val="autoZero"/>
        <c:auto val="1"/>
        <c:lblAlgn val="ctr"/>
        <c:lblOffset val="100"/>
        <c:noMultiLvlLbl val="0"/>
      </c:catAx>
      <c:valAx>
        <c:axId val="131948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948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050" b="0" i="0" baseline="0">
                <a:effectLst/>
              </a:rPr>
              <a:t>CASOS DE INCAPACIDAD PARCIAL PERMANENTE</a:t>
            </a:r>
            <a:endParaRPr lang="es-MX" sz="9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72-4622-9F05-293CA96FDA7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72-4622-9F05-293CA96FDA7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72-4622-9F05-293CA96FDA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GRAFICAS!$A$40:$A$42</c:f>
              <c:strCache>
                <c:ptCount val="3"/>
                <c:pt idx="0">
                  <c:v>&lt;10%</c:v>
                </c:pt>
                <c:pt idx="1">
                  <c:v>11-19%</c:v>
                </c:pt>
                <c:pt idx="2">
                  <c:v>&gt;20%</c:v>
                </c:pt>
              </c:strCache>
            </c:strRef>
          </c:cat>
          <c:val>
            <c:numRef>
              <c:f>GRAFICAS!$B$40:$B$42</c:f>
              <c:numCache>
                <c:formatCode>General</c:formatCode>
                <c:ptCount val="3"/>
                <c:pt idx="0">
                  <c:v>12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72-4622-9F05-293CA96FDA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%HBC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E1-4F6E-B7D7-432ACC9B45C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E1-4F6E-B7D7-432ACC9B45C1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E1-4F6E-B7D7-432ACC9B45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GRAFICAS!$M$6:$M$9</c:f>
              <c:strCache>
                <c:ptCount val="4"/>
                <c:pt idx="0">
                  <c:v>Muy Alto &gt;20%</c:v>
                </c:pt>
                <c:pt idx="1">
                  <c:v>Alto 10-19.9%</c:v>
                </c:pt>
                <c:pt idx="2">
                  <c:v>Bajo 0-9.9%</c:v>
                </c:pt>
                <c:pt idx="3">
                  <c:v>Total</c:v>
                </c:pt>
              </c:strCache>
            </c:strRef>
          </c:cat>
          <c:val>
            <c:numRef>
              <c:f>GRAFICAS!$N$6:$N$9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66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E1-4F6E-B7D7-432ACC9B45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7020160"/>
        <c:axId val="937008928"/>
      </c:barChart>
      <c:catAx>
        <c:axId val="93702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37008928"/>
        <c:crosses val="autoZero"/>
        <c:auto val="1"/>
        <c:lblAlgn val="ctr"/>
        <c:lblOffset val="100"/>
        <c:noMultiLvlLbl val="0"/>
      </c:catAx>
      <c:valAx>
        <c:axId val="9370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3702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ESPIROMETRIAS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A9-4DFE-A172-83715B44F5A0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A9-4DFE-A172-83715B44F5A0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EA9-4DFE-A172-83715B44F5A0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EA9-4DFE-A172-83715B44F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GRAFICAS!$M$19:$M$22</c:f>
              <c:strCache>
                <c:ptCount val="4"/>
                <c:pt idx="0">
                  <c:v>PATRÓN ESPIROMÉTRICO OBSTRUCTIVO</c:v>
                </c:pt>
                <c:pt idx="1">
                  <c:v>PATRÓN ESPIROMÉTRICO RESTRICTIVO LEVE</c:v>
                </c:pt>
                <c:pt idx="2">
                  <c:v>NORMAL</c:v>
                </c:pt>
                <c:pt idx="3">
                  <c:v>TOTAL</c:v>
                </c:pt>
              </c:strCache>
            </c:strRef>
          </c:cat>
          <c:val>
            <c:numRef>
              <c:f>GRAFICAS!$N$19:$N$22</c:f>
              <c:numCache>
                <c:formatCode>General</c:formatCode>
                <c:ptCount val="4"/>
                <c:pt idx="0">
                  <c:v>1</c:v>
                </c:pt>
                <c:pt idx="1">
                  <c:v>17</c:v>
                </c:pt>
                <c:pt idx="2">
                  <c:v>42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A9-4DFE-A172-83715B44F5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7985424"/>
        <c:axId val="1077995408"/>
      </c:barChart>
      <c:catAx>
        <c:axId val="107798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7995408"/>
        <c:crosses val="autoZero"/>
        <c:auto val="1"/>
        <c:lblAlgn val="ctr"/>
        <c:lblOffset val="100"/>
        <c:noMultiLvlLbl val="0"/>
      </c:catAx>
      <c:valAx>
        <c:axId val="10779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798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41E-4B3D-92A7-303439F57231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1E-4B3D-92A7-303439F57231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DC-4643-8911-B0BD268A1F9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2B1-43C7-85EF-F7AE8E7E7CDF}"/>
              </c:ext>
            </c:extLst>
          </c:dPt>
          <c:dPt>
            <c:idx val="4"/>
            <c:invertIfNegative val="0"/>
            <c:bubble3D val="0"/>
            <c:spPr>
              <a:solidFill>
                <a:srgbClr val="00AFA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F6E-489B-B351-17ACBD6811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GRAFICAS!$A$54:$A$59</c:f>
              <c:strCache>
                <c:ptCount val="5"/>
                <c:pt idx="0">
                  <c:v>Audición normal </c:v>
                </c:pt>
                <c:pt idx="1">
                  <c:v>Fatiga auditiva</c:v>
                </c:pt>
                <c:pt idx="2">
                  <c:v>Hipoacusia Leve por exposición a ruido </c:v>
                </c:pt>
                <c:pt idx="3">
                  <c:v>Hipoacuisa Moderada por exposición a ruido</c:v>
                </c:pt>
                <c:pt idx="4">
                  <c:v>Hipoacusia no relacionda con ruido laboral </c:v>
                </c:pt>
              </c:strCache>
            </c:strRef>
          </c:cat>
          <c:val>
            <c:numRef>
              <c:f>GRAFICAS!$B$54:$B$59</c:f>
              <c:numCache>
                <c:formatCode>General</c:formatCode>
                <c:ptCount val="5"/>
                <c:pt idx="0">
                  <c:v>30</c:v>
                </c:pt>
                <c:pt idx="1">
                  <c:v>23</c:v>
                </c:pt>
                <c:pt idx="2">
                  <c:v>12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B1-43C7-85EF-F7AE8E7E7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5610511"/>
        <c:axId val="905606191"/>
      </c:barChart>
      <c:catAx>
        <c:axId val="90561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5606191"/>
        <c:crosses val="autoZero"/>
        <c:auto val="1"/>
        <c:lblAlgn val="ctr"/>
        <c:lblOffset val="100"/>
        <c:noMultiLvlLbl val="0"/>
      </c:catAx>
      <c:valAx>
        <c:axId val="90560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56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GRADO</a:t>
            </a:r>
            <a:r>
              <a:rPr lang="es-MX" baseline="0"/>
              <a:t> DE ESCOLIOSIS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8E-4CFF-8C80-C09D94B122F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8E-4CFF-8C80-C09D94B122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GRAFICAS!$Y$5:$Y$6</c:f>
              <c:strCache>
                <c:ptCount val="2"/>
                <c:pt idx="0">
                  <c:v>ESCOLIOSIS LEVE</c:v>
                </c:pt>
                <c:pt idx="1">
                  <c:v>ESCOLIOSIS MODERADA</c:v>
                </c:pt>
              </c:strCache>
            </c:strRef>
          </c:cat>
          <c:val>
            <c:numRef>
              <c:f>GRAFICAS!$Z$5:$Z$6</c:f>
              <c:numCache>
                <c:formatCode>General</c:formatCode>
                <c:ptCount val="2"/>
                <c:pt idx="0">
                  <c:v>61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8E-4CFF-8C80-C09D94B122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7538288"/>
        <c:axId val="1857526288"/>
      </c:barChart>
      <c:catAx>
        <c:axId val="185753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7526288"/>
        <c:crosses val="autoZero"/>
        <c:auto val="1"/>
        <c:lblAlgn val="ctr"/>
        <c:lblOffset val="100"/>
        <c:noMultiLvlLbl val="0"/>
      </c:catAx>
      <c:valAx>
        <c:axId val="185752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753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GRADO</a:t>
            </a:r>
            <a:r>
              <a:rPr lang="es-MX" baseline="0"/>
              <a:t> DE LORDOSIS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DA-4773-BFE4-80BCDE442843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DA-4773-BFE4-80BCDE442843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DA-4773-BFE4-80BCDE4428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GRAFICAS!$Y$19:$Y$21</c:f>
              <c:strCache>
                <c:ptCount val="3"/>
                <c:pt idx="0">
                  <c:v>NORMAL</c:v>
                </c:pt>
                <c:pt idx="1">
                  <c:v>AUMENTADA</c:v>
                </c:pt>
                <c:pt idx="2">
                  <c:v>HIPERLORDOSIS</c:v>
                </c:pt>
              </c:strCache>
            </c:strRef>
          </c:cat>
          <c:val>
            <c:numRef>
              <c:f>GRAFICAS!$Z$19:$Z$21</c:f>
              <c:numCache>
                <c:formatCode>General</c:formatCode>
                <c:ptCount val="3"/>
                <c:pt idx="0">
                  <c:v>29</c:v>
                </c:pt>
                <c:pt idx="1">
                  <c:v>36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DA-4773-BFE4-80BCDE4428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7535408"/>
        <c:axId val="1857526768"/>
      </c:barChart>
      <c:catAx>
        <c:axId val="185753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7526768"/>
        <c:crosses val="autoZero"/>
        <c:auto val="1"/>
        <c:lblAlgn val="ctr"/>
        <c:lblOffset val="100"/>
        <c:noMultiLvlLbl val="0"/>
      </c:catAx>
      <c:valAx>
        <c:axId val="185752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753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BASCULACIÓN PELVICA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03-4A02-97B1-B4F121C6D578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5B4-AD03-3D72141D19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GRAFICAS!$Y$29:$Y$30</c:f>
              <c:strCache>
                <c:ptCount val="2"/>
                <c:pt idx="0">
                  <c:v>NORMAL</c:v>
                </c:pt>
                <c:pt idx="1">
                  <c:v>LEVE</c:v>
                </c:pt>
              </c:strCache>
            </c:strRef>
          </c:cat>
          <c:val>
            <c:numRef>
              <c:f>GRAFICAS!$Z$29:$Z$30</c:f>
              <c:numCache>
                <c:formatCode>General</c:formatCode>
                <c:ptCount val="2"/>
                <c:pt idx="0">
                  <c:v>61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03-4A02-97B1-B4F121C6D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258432"/>
        <c:axId val="537258912"/>
      </c:barChart>
      <c:catAx>
        <c:axId val="53725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7258912"/>
        <c:crosses val="autoZero"/>
        <c:auto val="1"/>
        <c:lblAlgn val="ctr"/>
        <c:lblOffset val="100"/>
        <c:noMultiLvlLbl val="0"/>
      </c:catAx>
      <c:valAx>
        <c:axId val="53725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725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GLUCOSA -EGO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4A-4FBC-ADE4-C754166563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GRAFICAS!$AK$4:$AK$5</c:f>
              <c:strCache>
                <c:ptCount val="2"/>
                <c:pt idx="0">
                  <c:v>Normal</c:v>
                </c:pt>
                <c:pt idx="1">
                  <c:v>Alto</c:v>
                </c:pt>
              </c:strCache>
            </c:strRef>
          </c:cat>
          <c:val>
            <c:numRef>
              <c:f>GRAFICAS!$AL$4:$AL$5</c:f>
              <c:numCache>
                <c:formatCode>General</c:formatCode>
                <c:ptCount val="2"/>
                <c:pt idx="0">
                  <c:v>66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4A-4FBC-ADE4-C754166563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284623"/>
        <c:axId val="2102296623"/>
      </c:barChart>
      <c:catAx>
        <c:axId val="21022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6623"/>
        <c:crosses val="autoZero"/>
        <c:auto val="1"/>
        <c:lblAlgn val="ctr"/>
        <c:lblOffset val="100"/>
        <c:noMultiLvlLbl val="0"/>
      </c:catAx>
      <c:valAx>
        <c:axId val="21022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8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PROTEINA -EGO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C3-4242-97A1-E12F219790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GRAFICAS!$AK$11:$AK$12</c:f>
              <c:strCache>
                <c:ptCount val="2"/>
                <c:pt idx="0">
                  <c:v>Normal</c:v>
                </c:pt>
                <c:pt idx="1">
                  <c:v>Alto</c:v>
                </c:pt>
              </c:strCache>
            </c:strRef>
          </c:cat>
          <c:val>
            <c:numRef>
              <c:f>GRAFICAS!$AL$11:$AL$12</c:f>
              <c:numCache>
                <c:formatCode>General</c:formatCode>
                <c:ptCount val="2"/>
                <c:pt idx="0">
                  <c:v>54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C3-4242-97A1-E12F219790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284623"/>
        <c:axId val="2102296623"/>
      </c:barChart>
      <c:catAx>
        <c:axId val="21022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6623"/>
        <c:crosses val="autoZero"/>
        <c:auto val="1"/>
        <c:lblAlgn val="ctr"/>
        <c:lblOffset val="100"/>
        <c:noMultiLvlLbl val="0"/>
      </c:catAx>
      <c:valAx>
        <c:axId val="21022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8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SANGRE -EGO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75-4227-873A-552452876B34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75-4227-873A-552452876B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GRAFICAS!$AK$18:$AK$19</c:f>
              <c:strCache>
                <c:ptCount val="2"/>
                <c:pt idx="0">
                  <c:v>Normal</c:v>
                </c:pt>
                <c:pt idx="1">
                  <c:v>Alto</c:v>
                </c:pt>
              </c:strCache>
            </c:strRef>
          </c:cat>
          <c:val>
            <c:numRef>
              <c:f>GRAFICAS!$AL$18:$AL$19</c:f>
              <c:numCache>
                <c:formatCode>General</c:formatCode>
                <c:ptCount val="2"/>
                <c:pt idx="0">
                  <c:v>62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75-4227-873A-552452876B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284623"/>
        <c:axId val="2102296623"/>
      </c:barChart>
      <c:catAx>
        <c:axId val="21022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6623"/>
        <c:crosses val="autoZero"/>
        <c:auto val="1"/>
        <c:lblAlgn val="ctr"/>
        <c:lblOffset val="100"/>
        <c:noMultiLvlLbl val="0"/>
      </c:catAx>
      <c:valAx>
        <c:axId val="21022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8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CRISTALES -EGO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7B-44FF-836A-37A3CE0FDB9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7B-44FF-836A-37A3CE0FDB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GRAFICAS!$AK$25:$AK$26</c:f>
              <c:strCache>
                <c:ptCount val="2"/>
                <c:pt idx="0">
                  <c:v>SIN CRISTALES</c:v>
                </c:pt>
                <c:pt idx="1">
                  <c:v>PRESENCIA DE CRISTALES</c:v>
                </c:pt>
              </c:strCache>
            </c:strRef>
          </c:cat>
          <c:val>
            <c:numRef>
              <c:f>GRAFICAS!$AL$25:$AL$26</c:f>
              <c:numCache>
                <c:formatCode>General</c:formatCode>
                <c:ptCount val="2"/>
                <c:pt idx="0">
                  <c:v>17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7B-44FF-836A-37A3CE0FDB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284623"/>
        <c:axId val="2102296623"/>
      </c:barChart>
      <c:catAx>
        <c:axId val="21022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6623"/>
        <c:crosses val="autoZero"/>
        <c:auto val="1"/>
        <c:lblAlgn val="ctr"/>
        <c:lblOffset val="100"/>
        <c:noMultiLvlLbl val="0"/>
      </c:catAx>
      <c:valAx>
        <c:axId val="21022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8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BACTERIAS -EGO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D1-477E-B7C9-D9B23D50A00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D1-477E-B7C9-D9B23D50A0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GRAFICAS!$AK$32:$AK$33</c:f>
              <c:strCache>
                <c:ptCount val="2"/>
                <c:pt idx="0">
                  <c:v>AUSENTES/ESCASAS</c:v>
                </c:pt>
                <c:pt idx="1">
                  <c:v>MODERADAS</c:v>
                </c:pt>
              </c:strCache>
            </c:strRef>
          </c:cat>
          <c:val>
            <c:numRef>
              <c:f>GRAFICAS!$AL$32:$AL$33</c:f>
              <c:numCache>
                <c:formatCode>General</c:formatCode>
                <c:ptCount val="2"/>
                <c:pt idx="0">
                  <c:v>67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D1-477E-B7C9-D9B23D50A0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02284623"/>
        <c:axId val="2102296623"/>
      </c:barChart>
      <c:catAx>
        <c:axId val="210228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6623"/>
        <c:crosses val="autoZero"/>
        <c:auto val="1"/>
        <c:lblAlgn val="ctr"/>
        <c:lblOffset val="100"/>
        <c:noMultiLvlLbl val="0"/>
      </c:catAx>
      <c:valAx>
        <c:axId val="210229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8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HEMOGLOBINA - BH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D6-4C69-AA38-6C7722780DB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D6-4C69-AA38-6C7722780D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GRAFICAS!$AK$40:$AK$41</c:f>
              <c:strCache>
                <c:ptCount val="2"/>
                <c:pt idx="0">
                  <c:v>Bajo</c:v>
                </c:pt>
                <c:pt idx="1">
                  <c:v>Normal</c:v>
                </c:pt>
              </c:strCache>
            </c:strRef>
          </c:cat>
          <c:val>
            <c:numRef>
              <c:f>GRAFICAS!$AL$40:$AL$41</c:f>
              <c:numCache>
                <c:formatCode>General</c:formatCode>
                <c:ptCount val="2"/>
                <c:pt idx="0">
                  <c:v>1</c:v>
                </c:pt>
                <c:pt idx="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D6-4C69-AA38-6C7722780D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284623"/>
        <c:axId val="2102296623"/>
      </c:barChart>
      <c:catAx>
        <c:axId val="21022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6623"/>
        <c:crosses val="autoZero"/>
        <c:auto val="1"/>
        <c:lblAlgn val="ctr"/>
        <c:lblOffset val="100"/>
        <c:noMultiLvlLbl val="0"/>
      </c:catAx>
      <c:valAx>
        <c:axId val="21022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8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LEUCOCITOS - BH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3C-40C0-BC3A-C146D5E27614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3C-40C0-BC3A-C146D5E276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GRAFICAS!$AK$47:$AK$48</c:f>
              <c:strCache>
                <c:ptCount val="2"/>
                <c:pt idx="0">
                  <c:v>NORMAL</c:v>
                </c:pt>
                <c:pt idx="1">
                  <c:v>ALTO</c:v>
                </c:pt>
              </c:strCache>
            </c:strRef>
          </c:cat>
          <c:val>
            <c:numRef>
              <c:f>GRAFICAS!$AL$47:$AL$48</c:f>
              <c:numCache>
                <c:formatCode>General</c:formatCode>
                <c:ptCount val="2"/>
                <c:pt idx="0">
                  <c:v>66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3C-40C0-BC3A-C146D5E276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284623"/>
        <c:axId val="2102296623"/>
      </c:barChart>
      <c:catAx>
        <c:axId val="21022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6623"/>
        <c:crosses val="autoZero"/>
        <c:auto val="1"/>
        <c:lblAlgn val="ctr"/>
        <c:lblOffset val="100"/>
        <c:noMultiLvlLbl val="0"/>
      </c:catAx>
      <c:valAx>
        <c:axId val="21022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8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PLAQUETAS - BH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AA-46CE-97DA-D6F71FBA37A5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AA-46CE-97DA-D6F71FBA37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GRAFICAS!$AK$54:$AK$55</c:f>
              <c:strCache>
                <c:ptCount val="2"/>
                <c:pt idx="0">
                  <c:v>BAJO</c:v>
                </c:pt>
                <c:pt idx="1">
                  <c:v>NORMAL</c:v>
                </c:pt>
              </c:strCache>
            </c:strRef>
          </c:cat>
          <c:val>
            <c:numRef>
              <c:f>GRAFICAS!$AL$54:$AL$55</c:f>
              <c:numCache>
                <c:formatCode>General</c:formatCode>
                <c:ptCount val="2"/>
                <c:pt idx="0">
                  <c:v>1</c:v>
                </c:pt>
                <c:pt idx="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42-453C-B198-2A599446F8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284623"/>
        <c:axId val="2102296623"/>
      </c:barChart>
      <c:catAx>
        <c:axId val="21022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6623"/>
        <c:crosses val="autoZero"/>
        <c:auto val="1"/>
        <c:lblAlgn val="ctr"/>
        <c:lblOffset val="100"/>
        <c:noMultiLvlLbl val="0"/>
      </c:catAx>
      <c:valAx>
        <c:axId val="21022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8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GLUCOSA</a:t>
            </a:r>
            <a:r>
              <a:rPr lang="es-MX" baseline="0"/>
              <a:t> - QS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7A-4145-AAAC-3FB320C58397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F9-411A-986C-C2C45A4B9CB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F9-411A-986C-C2C45A4B9C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GRAFICAS!$AU$5:$AU$7</c:f>
              <c:strCache>
                <c:ptCount val="3"/>
                <c:pt idx="0">
                  <c:v>Normal</c:v>
                </c:pt>
                <c:pt idx="1">
                  <c:v>Alterada</c:v>
                </c:pt>
                <c:pt idx="2">
                  <c:v>PB diabetes</c:v>
                </c:pt>
              </c:strCache>
            </c:strRef>
          </c:cat>
          <c:val>
            <c:numRef>
              <c:f>GRAFICAS!$AV$5:$AV$7</c:f>
              <c:numCache>
                <c:formatCode>General</c:formatCode>
                <c:ptCount val="3"/>
                <c:pt idx="0">
                  <c:v>66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F9-411A-986C-C2C45A4B9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295663"/>
        <c:axId val="2102277423"/>
      </c:barChart>
      <c:catAx>
        <c:axId val="210229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77423"/>
        <c:crosses val="autoZero"/>
        <c:auto val="1"/>
        <c:lblAlgn val="ctr"/>
        <c:lblOffset val="100"/>
        <c:noMultiLvlLbl val="0"/>
      </c:catAx>
      <c:valAx>
        <c:axId val="210227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aseline="0"/>
              <a:t>COLESTEROL - QS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2111801926530373"/>
          <c:y val="0.38213910216055197"/>
          <c:w val="0.83690668116032507"/>
          <c:h val="0.378848625073824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F0-4B6E-B4AA-8C7CA3C7FBA6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F0-4B6E-B4AA-8C7CA3C7FBA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F0-4B6E-B4AA-8C7CA3C7FB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GRAFICAS!$AU$16:$AU$18</c:f>
              <c:strCache>
                <c:ptCount val="3"/>
                <c:pt idx="0">
                  <c:v>Normal</c:v>
                </c:pt>
                <c:pt idx="1">
                  <c:v>Moderado</c:v>
                </c:pt>
                <c:pt idx="2">
                  <c:v>Alto</c:v>
                </c:pt>
              </c:strCache>
            </c:strRef>
          </c:cat>
          <c:val>
            <c:numRef>
              <c:f>GRAFICAS!$AV$16:$AV$18</c:f>
              <c:numCache>
                <c:formatCode>General</c:formatCode>
                <c:ptCount val="3"/>
                <c:pt idx="0">
                  <c:v>56</c:v>
                </c:pt>
                <c:pt idx="1">
                  <c:v>10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F0-4B6E-B4AA-8C7CA3C7FB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295663"/>
        <c:axId val="2102277423"/>
      </c:barChart>
      <c:catAx>
        <c:axId val="210229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77423"/>
        <c:crosses val="autoZero"/>
        <c:auto val="1"/>
        <c:lblAlgn val="ctr"/>
        <c:lblOffset val="100"/>
        <c:noMultiLvlLbl val="0"/>
      </c:catAx>
      <c:valAx>
        <c:axId val="210227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aseline="0"/>
              <a:t>TRIGLICERIDOS - QS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41-46DD-B605-AE6C60E493D2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41-46DD-B605-AE6C60E493D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41-46DD-B605-AE6C60E493D2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9C-4BDF-AD5A-19622B6EBC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GRAFICAS!$AU$31:$AU$34</c:f>
              <c:strCache>
                <c:ptCount val="4"/>
                <c:pt idx="0">
                  <c:v>Normal</c:v>
                </c:pt>
                <c:pt idx="1">
                  <c:v>Limite Alto</c:v>
                </c:pt>
                <c:pt idx="2">
                  <c:v>Alto</c:v>
                </c:pt>
                <c:pt idx="3">
                  <c:v>Muy alto</c:v>
                </c:pt>
              </c:strCache>
            </c:strRef>
          </c:cat>
          <c:val>
            <c:numRef>
              <c:f>GRAFICAS!$AV$31:$AV$34</c:f>
              <c:numCache>
                <c:formatCode>General</c:formatCode>
                <c:ptCount val="4"/>
                <c:pt idx="0">
                  <c:v>38</c:v>
                </c:pt>
                <c:pt idx="1">
                  <c:v>8</c:v>
                </c:pt>
                <c:pt idx="2">
                  <c:v>20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41-46DD-B605-AE6C60E493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295663"/>
        <c:axId val="2102277423"/>
      </c:barChart>
      <c:catAx>
        <c:axId val="210229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77423"/>
        <c:crosses val="autoZero"/>
        <c:auto val="1"/>
        <c:lblAlgn val="ctr"/>
        <c:lblOffset val="100"/>
        <c:noMultiLvlLbl val="0"/>
      </c:catAx>
      <c:valAx>
        <c:axId val="210227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aseline="0"/>
              <a:t>ACIDO URICO - QS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67-4641-B33B-C2B60B648AA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67-4641-B33B-C2B60B648AA9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067-4641-B33B-C2B60B648A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GRAFICAS!$AU$44:$AU$46</c:f>
              <c:strCache>
                <c:ptCount val="3"/>
                <c:pt idx="0">
                  <c:v>NORMAL</c:v>
                </c:pt>
                <c:pt idx="1">
                  <c:v>ALTO</c:v>
                </c:pt>
                <c:pt idx="2">
                  <c:v>BAJO</c:v>
                </c:pt>
              </c:strCache>
            </c:strRef>
          </c:cat>
          <c:val>
            <c:numRef>
              <c:f>GRAFICAS!$AV$44:$AV$46</c:f>
              <c:numCache>
                <c:formatCode>General</c:formatCode>
                <c:ptCount val="3"/>
                <c:pt idx="0">
                  <c:v>58</c:v>
                </c:pt>
                <c:pt idx="1">
                  <c:v>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67-4641-B33B-C2B60B648A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295663"/>
        <c:axId val="2102277423"/>
      </c:barChart>
      <c:catAx>
        <c:axId val="210229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77423"/>
        <c:crosses val="autoZero"/>
        <c:auto val="1"/>
        <c:lblAlgn val="ctr"/>
        <c:lblOffset val="100"/>
        <c:noMultiLvlLbl val="0"/>
      </c:catAx>
      <c:valAx>
        <c:axId val="210227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229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1B-4CB7-8594-EFEEA9D8A8E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1B-4CB7-8594-EFEEA9D8A8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GRAFICAS!$L$34:$L$35</c:f>
              <c:strCache>
                <c:ptCount val="2"/>
                <c:pt idx="0">
                  <c:v>SIN DATOS PATOLOGICOS APARENTES</c:v>
                </c:pt>
                <c:pt idx="1">
                  <c:v>CASOS DE SEGUIMIENTO</c:v>
                </c:pt>
              </c:strCache>
            </c:strRef>
          </c:cat>
          <c:val>
            <c:numRef>
              <c:f>GRAFICAS!$M$34:$M$35</c:f>
              <c:numCache>
                <c:formatCode>General</c:formatCode>
                <c:ptCount val="2"/>
                <c:pt idx="0">
                  <c:v>45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1B-4CB7-8594-EFEEA9D8A8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RADIOGRAFIA TORAX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5C-4038-AFB1-61BE11FF7037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5C-4038-AFB1-61BE11FF7037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5C-4038-AFB1-61BE11FF70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GRAFICAS!$Y$42:$Y$44</c:f>
              <c:strCache>
                <c:ptCount val="3"/>
                <c:pt idx="0">
                  <c:v>Casos p/seguimiento</c:v>
                </c:pt>
                <c:pt idx="1">
                  <c:v>Normal</c:v>
                </c:pt>
                <c:pt idx="2">
                  <c:v>Total</c:v>
                </c:pt>
              </c:strCache>
            </c:strRef>
          </c:cat>
          <c:val>
            <c:numRef>
              <c:f>GRAFICAS!$Z$42:$Z$44</c:f>
              <c:numCache>
                <c:formatCode>General</c:formatCode>
                <c:ptCount val="3"/>
                <c:pt idx="0">
                  <c:v>6</c:v>
                </c:pt>
                <c:pt idx="1">
                  <c:v>54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5C-4038-AFB1-61BE11FF70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527408"/>
        <c:axId val="55670864"/>
      </c:barChart>
      <c:catAx>
        <c:axId val="6252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670864"/>
        <c:crosses val="autoZero"/>
        <c:auto val="1"/>
        <c:lblAlgn val="ctr"/>
        <c:lblOffset val="100"/>
        <c:noMultiLvlLbl val="0"/>
      </c:catAx>
      <c:valAx>
        <c:axId val="5567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52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AGUDEZA VISUAL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6F-4DF8-8B66-8445A33D1242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6F-4DF8-8B66-8445A33D124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6F-4DF8-8B66-8445A33D1242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C6F-4DF8-8B66-8445A33D12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GRAFICAS!$L$60:$L$63</c:f>
              <c:strCache>
                <c:ptCount val="4"/>
                <c:pt idx="0">
                  <c:v>NORMAL</c:v>
                </c:pt>
                <c:pt idx="1">
                  <c:v>DISMINUIDA SIN USO DE LENTES</c:v>
                </c:pt>
                <c:pt idx="2">
                  <c:v>DISMINUIDA NO CORREGIDA</c:v>
                </c:pt>
                <c:pt idx="3">
                  <c:v>DISMINUIDA CORREGIDA</c:v>
                </c:pt>
              </c:strCache>
            </c:strRef>
          </c:cat>
          <c:val>
            <c:numRef>
              <c:f>GRAFICAS!$M$60:$M$63</c:f>
              <c:numCache>
                <c:formatCode>General</c:formatCode>
                <c:ptCount val="4"/>
                <c:pt idx="0">
                  <c:v>39</c:v>
                </c:pt>
                <c:pt idx="1">
                  <c:v>15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F-4DF8-8B66-8445A33D12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2695376"/>
        <c:axId val="1062702576"/>
      </c:barChart>
      <c:catAx>
        <c:axId val="106269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2702576"/>
        <c:crosses val="autoZero"/>
        <c:auto val="1"/>
        <c:lblAlgn val="ctr"/>
        <c:lblOffset val="100"/>
        <c:noMultiLvlLbl val="0"/>
      </c:catAx>
      <c:valAx>
        <c:axId val="106270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269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CAMPOS VISUALES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4D-437B-A027-9503A9D920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GRAFICAS!$L$70</c:f>
              <c:strCache>
                <c:ptCount val="1"/>
                <c:pt idx="0">
                  <c:v>NORMAL</c:v>
                </c:pt>
              </c:strCache>
            </c:strRef>
          </c:cat>
          <c:val>
            <c:numRef>
              <c:f>GRAFICAS!$M$70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D-437B-A027-9503A9D920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DISCRIMINACION</a:t>
            </a:r>
            <a:r>
              <a:rPr lang="es-MX" baseline="0"/>
              <a:t> DE COLOR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C9-4ACA-A257-D902B923BB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GRAFICAS!$L$78:$L$80</c:f>
              <c:strCache>
                <c:ptCount val="3"/>
                <c:pt idx="0">
                  <c:v>ACROMATOPSIA</c:v>
                </c:pt>
                <c:pt idx="1">
                  <c:v>DISCROMATOPSIA</c:v>
                </c:pt>
                <c:pt idx="2">
                  <c:v>NORMAL</c:v>
                </c:pt>
              </c:strCache>
            </c:strRef>
          </c:cat>
          <c:val>
            <c:numRef>
              <c:f>GRAFICAS!$M$78:$M$80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9-4ACA-A257-D902B923BB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2725616"/>
        <c:axId val="1062740016"/>
      </c:barChart>
      <c:catAx>
        <c:axId val="106272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2740016"/>
        <c:crosses val="autoZero"/>
        <c:auto val="1"/>
        <c:lblAlgn val="ctr"/>
        <c:lblOffset val="100"/>
        <c:noMultiLvlLbl val="0"/>
      </c:catAx>
      <c:valAx>
        <c:axId val="10627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272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VALORACION</a:t>
            </a:r>
            <a:r>
              <a:rPr lang="es-MX" baseline="0"/>
              <a:t> POSTURAL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CF-48EC-9991-0CADE8A2C981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0CF-48EC-9991-0CADE8A2C981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CF-48EC-9991-0CADE8A2C9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GRAFICAS!$Y$72:$Y$74</c:f>
              <c:strCache>
                <c:ptCount val="3"/>
                <c:pt idx="0">
                  <c:v>Riesgos Altos</c:v>
                </c:pt>
                <c:pt idx="1">
                  <c:v>Casos p/seguimiento</c:v>
                </c:pt>
                <c:pt idx="2">
                  <c:v>Normal</c:v>
                </c:pt>
              </c:strCache>
            </c:strRef>
          </c:cat>
          <c:val>
            <c:numRef>
              <c:f>GRAFICAS!$Z$72:$Z$74</c:f>
              <c:numCache>
                <c:formatCode>General</c:formatCode>
                <c:ptCount val="3"/>
                <c:pt idx="0">
                  <c:v>40</c:v>
                </c:pt>
                <c:pt idx="1">
                  <c:v>18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F-48EC-9991-0CADE8A2C9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0361344"/>
        <c:axId val="2020354624"/>
      </c:barChart>
      <c:catAx>
        <c:axId val="202036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0354624"/>
        <c:crosses val="autoZero"/>
        <c:auto val="1"/>
        <c:lblAlgn val="ctr"/>
        <c:lblOffset val="100"/>
        <c:noMultiLvlLbl val="0"/>
      </c:catAx>
      <c:valAx>
        <c:axId val="20203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036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177894</xdr:colOff>
      <xdr:row>0</xdr:row>
      <xdr:rowOff>51546</xdr:rowOff>
    </xdr:from>
    <xdr:to>
      <xdr:col>10</xdr:col>
      <xdr:colOff>192182</xdr:colOff>
      <xdr:row>9</xdr:row>
      <xdr:rowOff>115419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AE0BD9-222F-41B7-820A-6B24BB6A2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12</xdr:row>
      <xdr:rowOff>85725</xdr:rowOff>
    </xdr:from>
    <xdr:to>
      <xdr:col>7</xdr:col>
      <xdr:colOff>742950</xdr:colOff>
      <xdr:row>20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F1DC6B-FEEC-492F-8153-18AB839DA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657225</xdr:colOff>
      <xdr:row>31</xdr:row>
      <xdr:rowOff>85725</xdr:rowOff>
    </xdr:from>
    <xdr:to>
      <xdr:col>8</xdr:col>
      <xdr:colOff>95250</xdr:colOff>
      <xdr:row>38</xdr:row>
      <xdr:rowOff>104775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55533DA-4ED7-4F43-9932-2CB30C0F8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666750</xdr:colOff>
      <xdr:row>39</xdr:row>
      <xdr:rowOff>66674</xdr:rowOff>
    </xdr:from>
    <xdr:to>
      <xdr:col>6</xdr:col>
      <xdr:colOff>209550</xdr:colOff>
      <xdr:row>48</xdr:row>
      <xdr:rowOff>95249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6F400E8-5135-451C-AE3E-75E4D5E6C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161925</xdr:colOff>
      <xdr:row>2</xdr:row>
      <xdr:rowOff>152399</xdr:rowOff>
    </xdr:from>
    <xdr:to>
      <xdr:col>22</xdr:col>
      <xdr:colOff>28575</xdr:colOff>
      <xdr:row>14</xdr:row>
      <xdr:rowOff>90486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EEEAB72-29C7-424B-9FA1-E5E6A7F8F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259896</xdr:colOff>
      <xdr:row>14</xdr:row>
      <xdr:rowOff>167368</xdr:rowOff>
    </xdr:from>
    <xdr:to>
      <xdr:col>20</xdr:col>
      <xdr:colOff>612321</xdr:colOff>
      <xdr:row>26</xdr:row>
      <xdr:rowOff>162605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BB1A20D-4613-4EEC-9061-06AF81035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128868</xdr:colOff>
      <xdr:row>49</xdr:row>
      <xdr:rowOff>156882</xdr:rowOff>
    </xdr:from>
    <xdr:to>
      <xdr:col>8</xdr:col>
      <xdr:colOff>11206</xdr:colOff>
      <xdr:row>61</xdr:row>
      <xdr:rowOff>66114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DE06FCB-F48A-4AD5-A6D3-5685210E6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551089</xdr:colOff>
      <xdr:row>0</xdr:row>
      <xdr:rowOff>138793</xdr:rowOff>
    </xdr:from>
    <xdr:to>
      <xdr:col>34</xdr:col>
      <xdr:colOff>551089</xdr:colOff>
      <xdr:row>14</xdr:row>
      <xdr:rowOff>10886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DD0FCA9-87BB-48D1-966B-A499D826B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210911</xdr:colOff>
      <xdr:row>15</xdr:row>
      <xdr:rowOff>155864</xdr:rowOff>
    </xdr:from>
    <xdr:to>
      <xdr:col>33</xdr:col>
      <xdr:colOff>744682</xdr:colOff>
      <xdr:row>23</xdr:row>
      <xdr:rowOff>163037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4E6DB3B-EFD9-4A5E-9EED-AE47D0DAF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156482</xdr:colOff>
      <xdr:row>24</xdr:row>
      <xdr:rowOff>34636</xdr:rowOff>
    </xdr:from>
    <xdr:to>
      <xdr:col>32</xdr:col>
      <xdr:colOff>692729</xdr:colOff>
      <xdr:row>31</xdr:row>
      <xdr:rowOff>39337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B95AFAF-21A9-457C-93DA-FE11D4B17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554181</xdr:colOff>
      <xdr:row>2</xdr:row>
      <xdr:rowOff>69273</xdr:rowOff>
    </xdr:from>
    <xdr:to>
      <xdr:col>42</xdr:col>
      <xdr:colOff>640772</xdr:colOff>
      <xdr:row>7</xdr:row>
      <xdr:rowOff>20782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6EC051C-87C7-4B13-87DD-CE432639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743067</xdr:colOff>
      <xdr:row>7</xdr:row>
      <xdr:rowOff>146449</xdr:rowOff>
    </xdr:from>
    <xdr:to>
      <xdr:col>45</xdr:col>
      <xdr:colOff>447463</xdr:colOff>
      <xdr:row>14</xdr:row>
      <xdr:rowOff>41346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8617B9A3-A9E7-4DB7-8A6E-138B1BAF5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425823</xdr:colOff>
      <xdr:row>13</xdr:row>
      <xdr:rowOff>22412</xdr:rowOff>
    </xdr:from>
    <xdr:to>
      <xdr:col>42</xdr:col>
      <xdr:colOff>130219</xdr:colOff>
      <xdr:row>19</xdr:row>
      <xdr:rowOff>130220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79A20D8-0233-4328-BA5F-121B020D1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39</xdr:col>
      <xdr:colOff>526677</xdr:colOff>
      <xdr:row>21</xdr:row>
      <xdr:rowOff>22412</xdr:rowOff>
    </xdr:from>
    <xdr:to>
      <xdr:col>42</xdr:col>
      <xdr:colOff>231073</xdr:colOff>
      <xdr:row>27</xdr:row>
      <xdr:rowOff>130220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63E8AAD-5F34-4F1B-8189-288093582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41</xdr:col>
      <xdr:colOff>601115</xdr:colOff>
      <xdr:row>28</xdr:row>
      <xdr:rowOff>40822</xdr:rowOff>
    </xdr:from>
    <xdr:to>
      <xdr:col>45</xdr:col>
      <xdr:colOff>408214</xdr:colOff>
      <xdr:row>37</xdr:row>
      <xdr:rowOff>93650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BB08A98-4963-4CBA-8C53-D058310B5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39</xdr:col>
      <xdr:colOff>136072</xdr:colOff>
      <xdr:row>36</xdr:row>
      <xdr:rowOff>95251</xdr:rowOff>
    </xdr:from>
    <xdr:to>
      <xdr:col>42</xdr:col>
      <xdr:colOff>176893</xdr:colOff>
      <xdr:row>42</xdr:row>
      <xdr:rowOff>13609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626DF94-5A17-4C24-AFDD-6B791C980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39</xdr:col>
      <xdr:colOff>637936</xdr:colOff>
      <xdr:row>43</xdr:row>
      <xdr:rowOff>54428</xdr:rowOff>
    </xdr:from>
    <xdr:to>
      <xdr:col>42</xdr:col>
      <xdr:colOff>136071</xdr:colOff>
      <xdr:row>48</xdr:row>
      <xdr:rowOff>175291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805649E-4BD3-4949-B9BD-A9D69D992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40</xdr:col>
      <xdr:colOff>57150</xdr:colOff>
      <xdr:row>50</xdr:row>
      <xdr:rowOff>0</xdr:rowOff>
    </xdr:from>
    <xdr:to>
      <xdr:col>43</xdr:col>
      <xdr:colOff>649941</xdr:colOff>
      <xdr:row>58</xdr:row>
      <xdr:rowOff>145677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666DC3A6-F09F-48A5-B77F-94D912683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49</xdr:col>
      <xdr:colOff>219734</xdr:colOff>
      <xdr:row>1</xdr:row>
      <xdr:rowOff>99391</xdr:rowOff>
    </xdr:from>
    <xdr:to>
      <xdr:col>52</xdr:col>
      <xdr:colOff>596348</xdr:colOff>
      <xdr:row>10</xdr:row>
      <xdr:rowOff>26731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3C8F875A-2949-4D1D-AA5F-C96B1828F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50</xdr:col>
      <xdr:colOff>0</xdr:colOff>
      <xdr:row>13</xdr:row>
      <xdr:rowOff>1</xdr:rowOff>
    </xdr:from>
    <xdr:to>
      <xdr:col>53</xdr:col>
      <xdr:colOff>437030</xdr:colOff>
      <xdr:row>19</xdr:row>
      <xdr:rowOff>56031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28166190-7979-483B-AF95-BD09533E2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49</xdr:col>
      <xdr:colOff>710711</xdr:colOff>
      <xdr:row>26</xdr:row>
      <xdr:rowOff>58616</xdr:rowOff>
    </xdr:from>
    <xdr:to>
      <xdr:col>53</xdr:col>
      <xdr:colOff>278424</xdr:colOff>
      <xdr:row>33</xdr:row>
      <xdr:rowOff>86631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32F6DC41-5AFA-4451-BE4E-6665FFEEA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50</xdr:col>
      <xdr:colOff>149679</xdr:colOff>
      <xdr:row>39</xdr:row>
      <xdr:rowOff>190499</xdr:rowOff>
    </xdr:from>
    <xdr:to>
      <xdr:col>53</xdr:col>
      <xdr:colOff>381000</xdr:colOff>
      <xdr:row>46</xdr:row>
      <xdr:rowOff>136872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A613B8F3-F367-44DD-949F-0859807F6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</xdr:col>
      <xdr:colOff>296956</xdr:colOff>
      <xdr:row>29</xdr:row>
      <xdr:rowOff>113179</xdr:rowOff>
    </xdr:from>
    <xdr:to>
      <xdr:col>19</xdr:col>
      <xdr:colOff>296956</xdr:colOff>
      <xdr:row>43</xdr:row>
      <xdr:rowOff>110938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B401574F-DF2B-494E-B4E9-887524E4D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28</xdr:col>
      <xdr:colOff>38100</xdr:colOff>
      <xdr:row>38</xdr:row>
      <xdr:rowOff>29694</xdr:rowOff>
    </xdr:from>
    <xdr:to>
      <xdr:col>33</xdr:col>
      <xdr:colOff>704850</xdr:colOff>
      <xdr:row>52</xdr:row>
      <xdr:rowOff>177332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48A1D5D9-A873-473E-8C08-5CDD4F489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374195</xdr:colOff>
      <xdr:row>53</xdr:row>
      <xdr:rowOff>81642</xdr:rowOff>
    </xdr:from>
    <xdr:to>
      <xdr:col>17</xdr:col>
      <xdr:colOff>598714</xdr:colOff>
      <xdr:row>64</xdr:row>
      <xdr:rowOff>65313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0AEFAF-8D34-6B26-546F-005E61F15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13</xdr:col>
      <xdr:colOff>387802</xdr:colOff>
      <xdr:row>64</xdr:row>
      <xdr:rowOff>122463</xdr:rowOff>
    </xdr:from>
    <xdr:to>
      <xdr:col>17</xdr:col>
      <xdr:colOff>598713</xdr:colOff>
      <xdr:row>74</xdr:row>
      <xdr:rowOff>13607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379697-3331-BF6A-5546-3152017BF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13</xdr:col>
      <xdr:colOff>394606</xdr:colOff>
      <xdr:row>74</xdr:row>
      <xdr:rowOff>149679</xdr:rowOff>
    </xdr:from>
    <xdr:to>
      <xdr:col>17</xdr:col>
      <xdr:colOff>653143</xdr:colOff>
      <xdr:row>84</xdr:row>
      <xdr:rowOff>10887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5F8A5ED9-BEE5-1AA9-B2F1-85D1A53FD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26</xdr:col>
      <xdr:colOff>673553</xdr:colOff>
      <xdr:row>64</xdr:row>
      <xdr:rowOff>84365</xdr:rowOff>
    </xdr:from>
    <xdr:to>
      <xdr:col>32</xdr:col>
      <xdr:colOff>673553</xdr:colOff>
      <xdr:row>78</xdr:row>
      <xdr:rowOff>160565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4D17A4C1-FC04-0737-7313-ECFE7134E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GISTICA" refreshedDate="46147.628800578706" createdVersion="8" refreshedVersion="8" minRefreshableVersion="3" recordCount="115" xr:uid="{78FF9BC4-473C-4B61-A73F-A0A1B5BAED21}">
  <cacheSource type="worksheet">
    <worksheetSource ref="A3:Z480" sheet="LABORATORIOS"/>
  </cacheSource>
  <cacheFields count="26">
    <cacheField name="Folio" numFmtId="0">
      <sharedItems containsString="0" containsBlank="1" containsNumber="1" containsInteger="1" minValue="260417010016" maxValue="260420010044"/>
    </cacheField>
    <cacheField name="Nombre" numFmtId="0">
      <sharedItems containsBlank="1"/>
    </cacheField>
    <cacheField name="SEXO" numFmtId="0">
      <sharedItems containsBlank="1"/>
    </cacheField>
    <cacheField name="Edad" numFmtId="0">
      <sharedItems containsBlank="1"/>
    </cacheField>
    <cacheField name="BH Hb" numFmtId="2">
      <sharedItems containsBlank="1" containsMixedTypes="1" containsNumber="1" minValue="13" maxValue="18.399999999999999"/>
    </cacheField>
    <cacheField name="BH MCHb" numFmtId="2">
      <sharedItems containsBlank="1" containsMixedTypes="1" containsNumber="1" minValue="27.4" maxValue="33.4"/>
    </cacheField>
    <cacheField name="BH CHGM" numFmtId="2">
      <sharedItems containsBlank="1" containsMixedTypes="1" containsNumber="1" minValue="32.799999999999997" maxValue="36.4"/>
    </cacheField>
    <cacheField name="BH LEU" numFmtId="2">
      <sharedItems containsString="0" containsBlank="1" containsNumber="1" minValue="3.7" maxValue="16" count="42">
        <n v="7.6"/>
        <n v="7.7"/>
        <n v="5.8"/>
        <n v="6.2"/>
        <n v="5.4"/>
        <n v="8.6"/>
        <n v="6.8"/>
        <n v="5.6"/>
        <n v="8"/>
        <n v="7.1"/>
        <n v="7.4"/>
        <n v="7.3"/>
        <n v="6.6"/>
        <n v="4.9000000000000004"/>
        <n v="6.9"/>
        <n v="5.0999999999999996"/>
        <n v="3.7"/>
        <n v="5.7"/>
        <n v="4.5999999999999996"/>
        <n v="5.5"/>
        <n v="6.1"/>
        <n v="6.4"/>
        <n v="10.4"/>
        <n v="9.4"/>
        <n v="6.7"/>
        <n v="7"/>
        <n v="7.2"/>
        <n v="6"/>
        <n v="7.8"/>
        <n v="4.7"/>
        <n v="6.5"/>
        <n v="4.4000000000000004"/>
        <n v="8.5"/>
        <n v="7.9"/>
        <n v="9.6"/>
        <n v="5.2"/>
        <n v="8.8000000000000007"/>
        <n v="5.9"/>
        <n v="6.3"/>
        <n v="8.1999999999999993"/>
        <n v="16"/>
        <m/>
      </sharedItems>
    </cacheField>
    <cacheField name="BH PLA" numFmtId="1">
      <sharedItems containsString="0" containsBlank="1" containsNumber="1" containsInteger="1" minValue="145" maxValue="386" count="61">
        <n v="217"/>
        <n v="312"/>
        <n v="173"/>
        <n v="226"/>
        <n v="251"/>
        <n v="276"/>
        <n v="339"/>
        <n v="203"/>
        <n v="220"/>
        <n v="271"/>
        <n v="215"/>
        <n v="192"/>
        <n v="193"/>
        <n v="366"/>
        <n v="216"/>
        <n v="350"/>
        <n v="295"/>
        <n v="145"/>
        <n v="248"/>
        <n v="157"/>
        <n v="284"/>
        <n v="162"/>
        <n v="187"/>
        <n v="165"/>
        <n v="331"/>
        <n v="243"/>
        <n v="222"/>
        <n v="329"/>
        <n v="285"/>
        <n v="369"/>
        <n v="342"/>
        <n v="297"/>
        <n v="386"/>
        <n v="278"/>
        <n v="194"/>
        <n v="252"/>
        <n v="238"/>
        <n v="313"/>
        <n v="185"/>
        <n v="314"/>
        <n v="302"/>
        <n v="204"/>
        <n v="232"/>
        <n v="205"/>
        <n v="245"/>
        <n v="196"/>
        <n v="229"/>
        <n v="214"/>
        <n v="362"/>
        <n v="266"/>
        <n v="293"/>
        <n v="275"/>
        <n v="260"/>
        <n v="227"/>
        <n v="334"/>
        <n v="321"/>
        <n v="308"/>
        <n v="360"/>
        <n v="333"/>
        <n v="247"/>
        <m/>
      </sharedItems>
    </cacheField>
    <cacheField name="GLUC" numFmtId="2">
      <sharedItems containsString="0" containsBlank="1" containsNumber="1" minValue="64.099999999999994" maxValue="135.5" count="58">
        <n v="74.3"/>
        <n v="82.6"/>
        <n v="78.599999999999994"/>
        <n v="64.099999999999994"/>
        <n v="69.3"/>
        <n v="84.5"/>
        <n v="67.2"/>
        <n v="70.400000000000006"/>
        <n v="89"/>
        <n v="81.900000000000006"/>
        <n v="74.8"/>
        <n v="80"/>
        <n v="83"/>
        <n v="84.3"/>
        <n v="85.2"/>
        <n v="77.400000000000006"/>
        <n v="74.900000000000006"/>
        <n v="79.400000000000006"/>
        <n v="78.2"/>
        <n v="66.3"/>
        <n v="89.2"/>
        <n v="86.4"/>
        <n v="78.7"/>
        <n v="78.3"/>
        <n v="83.8"/>
        <n v="69.8"/>
        <n v="125.8"/>
        <n v="82.7"/>
        <n v="74.599999999999994"/>
        <n v="75.900000000000006"/>
        <n v="92.6"/>
        <n v="85.1"/>
        <n v="83.3"/>
        <n v="80.3"/>
        <n v="78.400000000000006"/>
        <n v="92"/>
        <n v="84.8"/>
        <n v="87.6"/>
        <n v="92.1"/>
        <n v="74.099999999999994"/>
        <n v="86.1"/>
        <n v="85.6"/>
        <n v="83.9"/>
        <n v="90.1"/>
        <n v="80.7"/>
        <n v="100.7"/>
        <n v="91.5"/>
        <n v="99"/>
        <n v="98.3"/>
        <n v="109.3"/>
        <n v="86"/>
        <n v="82.8"/>
        <n v="87.7"/>
        <n v="93"/>
        <n v="70"/>
        <n v="135.5"/>
        <m/>
        <n v="77" u="1"/>
      </sharedItems>
    </cacheField>
    <cacheField name="BUN-LAB" numFmtId="2">
      <sharedItems containsBlank="1" containsMixedTypes="1" containsNumber="1" minValue="7.5" maxValue="23"/>
    </cacheField>
    <cacheField name="UREA" numFmtId="2">
      <sharedItems containsBlank="1" containsMixedTypes="1" containsNumber="1" minValue="15" maxValue="49.2"/>
    </cacheField>
    <cacheField name="CREAT" numFmtId="2">
      <sharedItems containsBlank="1" containsMixedTypes="1" containsNumber="1" containsInteger="1" minValue="1" maxValue="1"/>
    </cacheField>
    <cacheField name="AU" numFmtId="2">
      <sharedItems containsString="0" containsBlank="1" containsNumber="1" minValue="3" maxValue="9.8000000000000007" count="35">
        <n v="9.8000000000000007"/>
        <n v="7.7"/>
        <n v="6.6"/>
        <n v="7.1"/>
        <n v="7.5"/>
        <n v="7"/>
        <n v="5.8"/>
        <n v="6"/>
        <n v="6.2"/>
        <n v="5.6"/>
        <n v="5.3"/>
        <n v="6.4"/>
        <n v="7.3"/>
        <n v="8.6"/>
        <n v="8"/>
        <n v="4.3"/>
        <n v="6.8"/>
        <n v="4"/>
        <n v="6.9"/>
        <n v="4.5"/>
        <n v="6.1"/>
        <n v="4.8"/>
        <n v="3.9"/>
        <n v="6.3"/>
        <n v="8.4"/>
        <n v="5.7"/>
        <n v="8.1999999999999993"/>
        <n v="6.5"/>
        <n v="5.9"/>
        <n v="4.7"/>
        <n v="3"/>
        <n v="5.5"/>
        <n v="7.8"/>
        <n v="3.1"/>
        <m/>
      </sharedItems>
    </cacheField>
    <cacheField name="COL" numFmtId="2">
      <sharedItems containsString="0" containsBlank="1" containsNumber="1" minValue="116.1" maxValue="288.10000000000002" count="66">
        <n v="208.8"/>
        <n v="212.6"/>
        <n v="164.3"/>
        <n v="148"/>
        <n v="196.1"/>
        <n v="188.6"/>
        <n v="140.6"/>
        <n v="145.6"/>
        <n v="146.4"/>
        <n v="177.2"/>
        <n v="116.1"/>
        <n v="164.2"/>
        <n v="153.9"/>
        <n v="200.9"/>
        <n v="164.1"/>
        <n v="229.3"/>
        <n v="196.6"/>
        <n v="183.3"/>
        <n v="175.4"/>
        <n v="155"/>
        <n v="181"/>
        <n v="169.1"/>
        <n v="169.2"/>
        <n v="238.7"/>
        <n v="161.9"/>
        <n v="149"/>
        <n v="146.30000000000001"/>
        <n v="144.9"/>
        <n v="164.9"/>
        <n v="165.1"/>
        <n v="191.1"/>
        <n v="144.69999999999999"/>
        <n v="160.30000000000001"/>
        <n v="157.5"/>
        <n v="164.5"/>
        <n v="198.3"/>
        <n v="143.69999999999999"/>
        <n v="202.8"/>
        <n v="140.4"/>
        <n v="184.8"/>
        <n v="215"/>
        <n v="216.6"/>
        <n v="162"/>
        <n v="148.4"/>
        <n v="179.3"/>
        <n v="205.6"/>
        <n v="119.1"/>
        <n v="155.69999999999999"/>
        <n v="143.6"/>
        <n v="159.19999999999999"/>
        <n v="132.80000000000001"/>
        <n v="164.7"/>
        <n v="288.10000000000002"/>
        <n v="156.5"/>
        <n v="151.19999999999999"/>
        <n v="159.4"/>
        <n v="192.2"/>
        <n v="138.1"/>
        <n v="149.19999999999999"/>
        <n v="157.69999999999999"/>
        <n v="273.89999999999998"/>
        <n v="179.2"/>
        <n v="204.5"/>
        <n v="160.19999999999999"/>
        <n v="160.80000000000001"/>
        <m/>
      </sharedItems>
    </cacheField>
    <cacheField name="TRIG" numFmtId="2">
      <sharedItems containsString="0" containsBlank="1" containsNumber="1" minValue="52.3" maxValue="1037.4000000000001" count="68">
        <n v="80.3"/>
        <n v="166.2"/>
        <n v="210"/>
        <n v="112.4"/>
        <n v="225.2"/>
        <n v="128.30000000000001"/>
        <n v="75.7"/>
        <n v="151.19999999999999"/>
        <n v="177.2"/>
        <n v="217.6"/>
        <n v="60.6"/>
        <n v="65.3"/>
        <n v="92.7"/>
        <n v="117"/>
        <n v="208.5"/>
        <n v="202.5"/>
        <n v="253.1"/>
        <n v="129"/>
        <n v="79.7"/>
        <n v="81.599999999999994"/>
        <n v="161.19999999999999"/>
        <n v="82.1"/>
        <n v="97"/>
        <n v="134"/>
        <n v="56.1"/>
        <n v="543.6"/>
        <n v="52.5"/>
        <n v="102.5"/>
        <n v="66.599999999999994"/>
        <n v="99.5"/>
        <n v="142.1"/>
        <n v="129.19999999999999"/>
        <n v="109.3"/>
        <n v="158.5"/>
        <n v="249.8"/>
        <n v="285.89999999999998"/>
        <n v="215.3"/>
        <n v="91.7"/>
        <n v="278.2"/>
        <n v="154.30000000000001"/>
        <n v="194.6"/>
        <n v="116.6"/>
        <n v="65.2"/>
        <n v="334"/>
        <n v="371.7"/>
        <n v="104.3"/>
        <n v="63.5"/>
        <n v="167.3"/>
        <n v="89"/>
        <n v="139.1"/>
        <n v="52.3"/>
        <n v="210.3"/>
        <n v="1037.4000000000001"/>
        <n v="227.1"/>
        <n v="115.8"/>
        <n v="87.2"/>
        <n v="174.9"/>
        <n v="210.6"/>
        <n v="239.3"/>
        <n v="325.60000000000002"/>
        <n v="193.1"/>
        <n v="68.2"/>
        <n v="276.2"/>
        <n v="213.3"/>
        <n v="273.60000000000002"/>
        <n v="68.400000000000006"/>
        <n v="137.30000000000001"/>
        <m/>
      </sharedItems>
    </cacheField>
    <cacheField name="EGO-GLC" numFmtId="0">
      <sharedItems containsBlank="1" containsMixedTypes="1" containsNumber="1" containsInteger="1" minValue="0" maxValue="28"/>
    </cacheField>
    <cacheField name="EGO-PROT" numFmtId="0">
      <sharedItems containsBlank="1" containsMixedTypes="1" containsNumber="1" containsInteger="1" minValue="0" maxValue="0"/>
    </cacheField>
    <cacheField name="EGOblo" numFmtId="0">
      <sharedItems containsString="0" containsBlank="1" containsNumber="1" containsInteger="1" minValue="0" maxValue="25"/>
    </cacheField>
    <cacheField name="EGO BAC" numFmtId="0">
      <sharedItems containsBlank="1" count="4">
        <s v="AUSENTES"/>
        <s v="ESCASAS"/>
        <s v="MODERADAS"/>
        <m/>
      </sharedItems>
    </cacheField>
    <cacheField name="CRISTALES EGO" numFmtId="0">
      <sharedItems containsBlank="1" count="10">
        <s v="URATOS AMORFOS ESCASOS"/>
        <s v="AUSENTES"/>
        <s v="URATOS AMORFOS MODERADOS"/>
        <s v="FOSFATOS AMORFOS ABUNDANTES"/>
        <s v="FOSFATOS AMORFOS ESCASOS"/>
        <s v="URATOS AMORFOS ABUNDANTES"/>
        <s v="OXALATOS DE CALCIO DIHIDRATADOS ESCASOS"/>
        <s v="OXALATOS DE CALCIO DIHIDRATADOS ABUNDANTES"/>
        <s v="OXALATOS DE CALCIO DIHIDRATADOS MODERADOS"/>
        <m/>
      </sharedItems>
    </cacheField>
    <cacheField name="ANFETA" numFmtId="0">
      <sharedItems containsBlank="1"/>
    </cacheField>
    <cacheField name="COCA" numFmtId="0">
      <sharedItems containsBlank="1"/>
    </cacheField>
    <cacheField name="MARIHUA" numFmtId="0">
      <sharedItems containsBlank="1"/>
    </cacheField>
    <cacheField name="OPIAC" numFmtId="0">
      <sharedItems containsBlank="1"/>
    </cacheField>
    <cacheField name="METANF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GISTICA" refreshedDate="46148.705241550924" createdVersion="8" refreshedVersion="8" minRefreshableVersion="3" recordCount="68" xr:uid="{EC6716A1-50C6-4BE6-A226-06577C6A52A0}">
  <cacheSource type="worksheet">
    <worksheetSource ref="A3:V71" sheet="CONCENTRADO"/>
  </cacheSource>
  <cacheFields count="21">
    <cacheField name="FOLIO " numFmtId="0">
      <sharedItems containsSemiMixedTypes="0" containsString="0" containsNumber="1" containsInteger="1" minValue="168012" maxValue="168183"/>
    </cacheField>
    <cacheField name="NOMBRE" numFmtId="0">
      <sharedItems/>
    </cacheField>
    <cacheField name="SEXO" numFmtId="0">
      <sharedItems/>
    </cacheField>
    <cacheField name="AREA/ PUESTO" numFmtId="0">
      <sharedItems containsBlank="1" count="64">
        <s v="SOLDADURA"/>
        <s v="MANTENIMIENTO"/>
        <s v="MAQUINADOS"/>
        <s v="ALMACEN F5"/>
        <s v="PINTURA"/>
        <s v="LOGISTICA"/>
        <m/>
        <s v="SEGURIDAD E HIGIENE"/>
        <s v="ALMACEN"/>
        <s v="PRODUCCION" u="1"/>
        <s v="ANEXO" u="1"/>
        <s v="LABORATORIO" u="1"/>
        <s v="SEGURIDAD" u="1"/>
        <s v="TERMINAL" u="1"/>
        <s v="PROCESOS" u="1"/>
        <s v="LAVADO DE CONTENEDORES" u="1"/>
        <s v="FOSAS" u="1"/>
        <s v="TRATAMIENTO DE AGUAS " u="1"/>
        <s v="MEZCLAS" u="1"/>
        <s v="RH" u="1"/>
        <s v="SEGURIDAD " u="1"/>
        <s v="FINANZAS" u="1"/>
        <s v="CONTROL DE CALIDAD" u="1"/>
        <s v="SEGURIDAD SALUD Y MEDIO AMIENTE" u="1"/>
        <s v="COMPRAS" u="1"/>
        <s v="CONTABILIDAD" u="1"/>
        <s v="SEGURIDAD PATRIMONIAL" u="1"/>
        <s v="SUPERVISOR" u="1"/>
        <s v="REHABILITADO DE TAMBOR" u="1"/>
        <s v="GENERAL" u="1"/>
        <s v="LAVADO DE CONTENEDORES " u="1"/>
        <s v="TESORERIA" u="1"/>
        <s v="GERENCIA" u="1"/>
        <s v="KAISAFIX" u="1"/>
        <s v="RECURSOS HUMANOS" u="1"/>
        <s v="ADMINISTRATIVO" u="1"/>
        <s v="RECIBO DE MATERIA DE MATERIA PRIMA" u="1"/>
        <s v="SERVICIO AL CLIENTE" u="1"/>
        <s v="LIMPIEZA E HIGIENE" u="1"/>
        <s v="SEGURIDAD, SALUD Y MEDIO AMBIENTE" u="1"/>
        <s v="INVESTIGACION Y DESARROLLO" u="1"/>
        <s v="VIGILANCIA" u="1"/>
        <s v="MATERIA PRIMA" u="1"/>
        <s v="LAVADO" u="1"/>
        <s v="R 15 Y R 16" u="1"/>
        <s v="TECNOLOGIA" u="1"/>
        <s v="EHS" u="1"/>
        <s v="" u="1"/>
        <s v="ALLMACEN" u="1"/>
        <s v="ANEXO DE PRODUCCION 1" u="1"/>
        <s v="ADMINISTRACION" u="1"/>
        <s v="PRODUCCION 2" u="1"/>
        <s v="ALMACEN DE MATERIA PRIMA" u="1"/>
        <s v="ALMACEN MATERIA PRIMA" u="1"/>
        <s v="PRODUCCION 2 " u="1"/>
        <s v="MANTENIMENTO" u="1"/>
        <s v="MANTENIMIETO" u="1"/>
        <s v="LABORATORIO CONTROL DE CALIDAD" u="1"/>
        <s v="LABORATORIO CONTROL D CALIDAD" u="1"/>
        <s v="PRODUCCION 1" u="1"/>
        <s v="ANEXO PRODUCCION 1" u="1"/>
        <s v="LABORATORIO DE INVESTIGACION Y DESARROLLO" u="1"/>
        <s v="PRODUCCION 1 " u="1"/>
        <s v="ALMACEN PT" u="1"/>
      </sharedItems>
    </cacheField>
    <cacheField name="ANTIGÜEDAD" numFmtId="0">
      <sharedItems containsBlank="1" count="82">
        <s v="3 AÑOS 9 MESES"/>
        <s v="3 AÑOS 6 MESES"/>
        <s v="2 AÑOS "/>
        <s v="4 AÑOS "/>
        <s v="1 AÑO"/>
        <s v="4 AÑOS 10 MESES"/>
        <s v="4 AÑOS"/>
        <s v="3 AÑOS"/>
        <s v="3 AÑOS "/>
        <s v="5 AÑOS"/>
        <s v="11 MESES"/>
        <s v="4 AÑOS 6 MESES "/>
        <s v="5 AÑOS "/>
        <s v="2 AÑOS 7 MESES"/>
        <s v="4 AÑOS 5 MESES"/>
        <s v="4 AÑOS 11 MESES "/>
        <s v="6 MESES"/>
        <s v="4 AÑOS 5 MESES "/>
        <s v="3 AÑOS 1 MES"/>
        <s v="2 AÑOS 6 MESES"/>
        <s v="2 AÑOS 11 MESES "/>
        <s v="9 MESES"/>
        <s v="1 AÑO 4 MESES"/>
        <s v="4 AÑOS 4 MESES"/>
        <s v="3 AÑOS 11 MESES "/>
        <s v="8 AÑOS "/>
        <s v="2 AÑOS"/>
        <s v="13 AÑOS"/>
        <s v="2 AÑOS 2 MESES"/>
        <s v="7 AÑOS"/>
        <s v="3 AÑOS 10 MESES"/>
        <s v="14 AÑOS" u="1"/>
        <m u="1"/>
        <s v="1 MES" u="1"/>
        <s v="6 AÑOS" u="1"/>
        <s v="5 MESES" u="1"/>
        <s v="24 AÑOS" u="1"/>
        <s v="23 AÑOS" u="1"/>
        <s v="12 AÑOS" u="1"/>
        <s v="1 AÑO 6 MESES" u="1"/>
        <s v="2 MESES" u="1"/>
        <s v="3 MESES" u="1"/>
        <s v="3 AÑOS." u="1"/>
        <s v="4 MESES" u="1"/>
        <s v="19 AÑOS" u="1"/>
        <s v="2 AÑOS, 11 MESES" u="1"/>
        <s v="1 AÑO 9 MESES" u="1"/>
        <s v="16 AÑOS" u="1"/>
        <s v="20 AÑOS" u="1"/>
        <s v="26 AÑOS" u="1"/>
        <s v="8 AÑOS" u="1"/>
        <s v="7 MESES" u="1"/>
        <s v="22 AÑOS EN LA EMPRESA" u="1"/>
        <s v="3 AÑOS, 6 MESES" u="1"/>
        <s v="1 AÑO 8 MESES" u="1"/>
        <s v="35 AÑOS" u="1"/>
        <s v="13 AÑOS " u="1"/>
        <s v="10 MESES" u="1"/>
        <s v="10 AÑOS " u="1"/>
        <s v="10 AÑOS" u="1"/>
        <s v="6 MESES." u="1"/>
        <s v="18 AÑOS" u="1"/>
        <s v="1 MES " u="1"/>
        <s v="8 MESES" u="1"/>
        <s v="16 AÑSO" u="1"/>
        <s v="4 AÑOS." u="1"/>
        <s v="17 AÑOS" u="1"/>
        <s v="1 AÑO 7 MESES" u="1"/>
        <s v="1 AÑO 3 MESES" u="1"/>
        <s v="9 AÑOS" u="1"/>
        <s v="7 AÑOS " u="1"/>
        <s v="5 MESES." u="1"/>
        <s v="1 AÑO 2 MESES" u="1"/>
        <s v="22 AÑOS" u="1"/>
        <s v="12 AÑOS." u="1"/>
        <s v="13 AÑOS 6 MESES" u="1"/>
        <s v="2 AÑOS, 4 MESES." u="1"/>
        <s v="3 AÑOS 8 MESES" u="1"/>
        <s v="11 AÑOS" u="1"/>
        <s v="2 AÑOS, 7 MESES." u="1"/>
        <s v="" u="1"/>
        <s v="6 AÑOS 2 MESES" u="1"/>
      </sharedItems>
    </cacheField>
    <cacheField name="AGUDEZA VISUAL" numFmtId="0">
      <sharedItems containsBlank="1" count="6">
        <s v="DISMINUIDA SIN USO DE LENTES"/>
        <s v="NORMAL"/>
        <s v="N/A"/>
        <s v="DISMINUIDA NO CORREGIDA"/>
        <s v="DISMINUIDA CORREGIDA"/>
        <m u="1"/>
      </sharedItems>
    </cacheField>
    <cacheField name="CAMPOS VISUALES" numFmtId="0">
      <sharedItems count="2">
        <s v="NORMAL"/>
        <s v="N/A"/>
      </sharedItems>
    </cacheField>
    <cacheField name="DISCRIMINACION DEL COLOR" numFmtId="0">
      <sharedItems count="4">
        <s v="NORMAL"/>
        <s v="N/A"/>
        <s v="DISCROMATOPSIA"/>
        <s v="ACROMATOPSIA"/>
      </sharedItems>
    </cacheField>
    <cacheField name="DX" numFmtId="0">
      <sharedItems containsBlank="1" count="12">
        <s v="NORMAL"/>
        <s v="FATIGA AUDITIVA"/>
        <s v="LEVE TA"/>
        <s v="NO RELACIONADA A RUIDO LABORAL"/>
        <s v="MODERADA TA"/>
        <s v="NR" u="1"/>
        <m u="1"/>
        <s v="N/A" u="1"/>
        <s v="LEVE" u="1"/>
        <s v="MODERADA" u="1"/>
        <s v="CONDUCTIVA" u="1"/>
        <s v="MG" u="1"/>
      </sharedItems>
    </cacheField>
    <cacheField name="OIDO DERECHO" numFmtId="0">
      <sharedItems/>
    </cacheField>
    <cacheField name="OIDO IZQUIERDO" numFmtId="0">
      <sharedItems/>
    </cacheField>
    <cacheField name="% HBC" numFmtId="0">
      <sharedItems containsSemiMixedTypes="0" containsString="0" containsNumber="1" minValue="-3.25" maxValue="33.25" count="73">
        <n v="-1.25"/>
        <n v="2.88"/>
        <n v="5.5"/>
        <n v="3.38"/>
        <n v="3.13"/>
        <n v="8"/>
        <n v="9.1300000000000008"/>
        <n v="10.38"/>
        <n v="-0.5"/>
        <n v="4.5"/>
        <n v="4.13"/>
        <n v="4.25"/>
        <n v="3.63"/>
        <n v="5.38"/>
        <n v="2.25"/>
        <n v="3.5"/>
        <n v="0.63"/>
        <n v="4.63"/>
        <n v="7.63"/>
        <n v="-0.63"/>
        <n v="4"/>
        <n v="22"/>
        <n v="2.5"/>
        <n v="1"/>
        <n v="6.13"/>
        <n v="6.63"/>
        <n v="3.25"/>
        <n v="5.25"/>
        <n v="8.25"/>
        <n v="6.38"/>
        <n v="2.13"/>
        <n v="8.1300000000000008"/>
        <n v="4.38"/>
        <n v="6.25"/>
        <n v="13.5"/>
        <n v="-3.25"/>
        <n v="7.75"/>
        <n v="-0.75"/>
        <n v="7.5"/>
        <n v="1.38"/>
        <n v="2"/>
        <n v="0.13"/>
        <n v="7.88" u="1"/>
        <n v="23" u="1"/>
        <n v="10.5" u="1"/>
        <n v="10.88" u="1"/>
        <n v="18.38" u="1"/>
        <n v="9.3800000000000008" u="1"/>
        <n v="11.63" u="1"/>
        <n v="10.63" u="1"/>
        <n v="20.38" u="1"/>
        <n v="13.38" u="1"/>
        <n v="10" u="1"/>
        <n v="14.63" u="1"/>
        <n v="24.75" u="1"/>
        <n v="14.88" u="1"/>
        <n v="14.38" u="1"/>
        <n v="13.63" u="1"/>
        <n v="27.35" u="1"/>
        <n v="3.75" u="1"/>
        <n v="7.38" u="1"/>
        <n v="5.88" u="1"/>
        <n v="7" u="1"/>
        <n v="9.8800000000000008" u="1"/>
        <n v="11" u="1"/>
        <n v="8.9" u="1"/>
        <n v="17.5" u="1"/>
        <n v="21.88" u="1"/>
        <n v="8.8800000000000008" u="1"/>
        <n v="33.25" u="1"/>
        <n v="15.75" u="1"/>
        <n v="6.88" u="1"/>
        <n v="12.5" u="1"/>
      </sharedItems>
    </cacheField>
    <cacheField name="ESPIROMETRIA" numFmtId="0">
      <sharedItems containsBlank="1" count="8">
        <s v="NORMAL"/>
        <s v="PATRÓN ESPIROMÉTRICO RESTRICTIVO LEVE"/>
        <s v="N/A"/>
        <s v="PATRÓN ESPIROMÉTRICO OBSTRUCTIVO"/>
        <m u="1"/>
        <s v="PATRÓN ESPIROMÉTRICO RESTRICTIVO MODERADO" u="1"/>
        <s v="PATRÓN ESPIROMÉTRICO NO DIAGNOSTICABLE" u="1"/>
        <s v="PATRÓN ESPIROMÉTRICO RESTRICTIVO" u="1"/>
      </sharedItems>
    </cacheField>
    <cacheField name="FVC" numFmtId="0">
      <sharedItems containsMixedTypes="1" containsNumber="1" minValue="0.68" maxValue="1.04"/>
    </cacheField>
    <cacheField name="TABAQUISMO " numFmtId="0">
      <sharedItems containsBlank="1" count="3">
        <s v="NEGADO"/>
        <s v="POSITIVO"/>
        <m u="1"/>
      </sharedItems>
    </cacheField>
    <cacheField name="ELECTROCARDIOGRAMA" numFmtId="0">
      <sharedItems/>
    </cacheField>
    <cacheField name="GRADO DE ESCOLIOSIS(°)" numFmtId="0">
      <sharedItems containsSemiMixedTypes="0" containsString="0" containsNumber="1" containsInteger="1" minValue="1" maxValue="10" count="10">
        <n v="3"/>
        <n v="5"/>
        <n v="2"/>
        <n v="6"/>
        <n v="4"/>
        <n v="7"/>
        <n v="9"/>
        <n v="1" u="1"/>
        <n v="8" u="1"/>
        <n v="10" u="1"/>
      </sharedItems>
    </cacheField>
    <cacheField name="GRADO DE LORDOSIS(°)" numFmtId="0">
      <sharedItems containsSemiMixedTypes="0" containsString="0" containsNumber="1" containsInteger="1" minValue="22" maxValue="58" count="17">
        <n v="36"/>
        <n v="40"/>
        <n v="30"/>
        <n v="45"/>
        <n v="46"/>
        <n v="44"/>
        <n v="34"/>
        <n v="58"/>
        <n v="42"/>
        <n v="52"/>
        <n v="38"/>
        <n v="48"/>
        <n v="32"/>
        <n v="26"/>
        <n v="28"/>
        <n v="50"/>
        <n v="22" u="1"/>
      </sharedItems>
    </cacheField>
    <cacheField name="BASCULACIÓN PELVICA (cms)" numFmtId="0">
      <sharedItems containsSemiMixedTypes="0" containsString="0" containsNumber="1" minValue="0" maxValue="2" count="12">
        <n v="0"/>
        <n v="1"/>
        <n v="1.4"/>
        <n v="2"/>
        <n v="1.8"/>
        <n v="0.8" u="1"/>
        <n v="1.2" u="1"/>
        <n v="0.4" u="1"/>
        <n v="0.2" u="1"/>
        <n v="0.1" u="1"/>
        <n v="0.6" u="1"/>
        <n v="1.6" u="1"/>
      </sharedItems>
    </cacheField>
    <cacheField name="IMPRESIÓN DIAGNOSTICA" numFmtId="0">
      <sharedItems longText="1"/>
    </cacheField>
    <cacheField name="IMPRESIÓN DIAGNOSTICA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n v="260417010016"/>
    <s v="AGUILAR ARREOLA JOSE DAVID"/>
    <s v="MASCULINO"/>
    <s v="28 A"/>
    <n v="16.399999999999999"/>
    <n v="31.2"/>
    <n v="34.1"/>
    <x v="0"/>
    <x v="0"/>
    <x v="0"/>
    <n v="17"/>
    <n v="36.299999999999997"/>
    <n v="1"/>
    <x v="0"/>
    <x v="0"/>
    <x v="0"/>
    <n v="0"/>
    <n v="0"/>
    <n v="0"/>
    <x v="0"/>
    <x v="0"/>
    <s v="POSITIVO"/>
    <s v="NEGATIVO"/>
    <s v="NEGATIVO"/>
    <s v="NEGATIVO"/>
    <s v="POSITIVO"/>
  </r>
  <r>
    <n v="260417010017"/>
    <s v="ALDABALDE MARTINEZ SAUL"/>
    <s v="MASCULINO"/>
    <s v="44 A"/>
    <n v="16.399999999999999"/>
    <n v="31.2"/>
    <n v="34.200000000000003"/>
    <x v="1"/>
    <x v="1"/>
    <x v="1"/>
    <n v="13.9"/>
    <n v="29.7"/>
    <s v="0.9"/>
    <x v="1"/>
    <x v="1"/>
    <x v="1"/>
    <n v="0"/>
    <n v="0"/>
    <n v="0"/>
    <x v="0"/>
    <x v="1"/>
    <s v="NEGATIVO"/>
    <s v="NEGATIVO"/>
    <s v="NEGATIVO"/>
    <s v="NEGATIVO"/>
    <s v="NEGATIVO"/>
  </r>
  <r>
    <n v="260417010018"/>
    <s v="ARREDONDO ORTIZ VICTOR HUGO"/>
    <s v="MASCULINO"/>
    <s v="38 A"/>
    <n v="16.7"/>
    <n v="29.2"/>
    <n v="34"/>
    <x v="2"/>
    <x v="2"/>
    <x v="2"/>
    <n v="15.2"/>
    <n v="32.5"/>
    <n v="1"/>
    <x v="2"/>
    <x v="2"/>
    <x v="2"/>
    <n v="0"/>
    <n v="0"/>
    <n v="0"/>
    <x v="1"/>
    <x v="0"/>
    <s v="NEGATIVO"/>
    <s v="NEGATIVO"/>
    <s v="NEGATIVO"/>
    <s v="NEGATIVO"/>
    <s v="NEGATIVO"/>
  </r>
  <r>
    <n v="260417010019"/>
    <s v="GARCIA PACHUCA LUIS FERNANDO"/>
    <s v="MASCULINO"/>
    <s v="21 A"/>
    <n v="16.399999999999999"/>
    <n v="28"/>
    <n v="34"/>
    <x v="2"/>
    <x v="3"/>
    <x v="3"/>
    <n v="17.100000000000001"/>
    <n v="36.5"/>
    <s v="1.1"/>
    <x v="3"/>
    <x v="3"/>
    <x v="3"/>
    <n v="0"/>
    <n v="0"/>
    <n v="0"/>
    <x v="1"/>
    <x v="0"/>
    <s v="NEGATIVO"/>
    <s v="NEGATIVO"/>
    <s v="NEGATIVO"/>
    <s v="NEGATIVO"/>
    <s v="NEGATIVO"/>
  </r>
  <r>
    <n v="260417010020"/>
    <s v="GOMEZ LUCIO JOSE MANUEL"/>
    <s v="MASCULINO"/>
    <s v="30 A"/>
    <n v="17.3"/>
    <n v="31.2"/>
    <n v="33.9"/>
    <x v="3"/>
    <x v="4"/>
    <x v="4"/>
    <n v="13.7"/>
    <n v="29.3"/>
    <s v="1.3"/>
    <x v="4"/>
    <x v="4"/>
    <x v="4"/>
    <n v="0"/>
    <n v="0"/>
    <n v="0"/>
    <x v="1"/>
    <x v="2"/>
    <s v="NEGATIVO"/>
    <s v="NEGATIVO"/>
    <s v="NEGATIVO"/>
    <s v="NEGATIVO"/>
    <s v="NEGATIVO"/>
  </r>
  <r>
    <n v="260417010021"/>
    <s v="GONZALEZ BARRERA VICTOR MANUEL"/>
    <s v="MASCULINO"/>
    <s v="36 A"/>
    <n v="15.3"/>
    <n v="27.4"/>
    <n v="33.5"/>
    <x v="4"/>
    <x v="5"/>
    <x v="5"/>
    <n v="20.7"/>
    <n v="44.4"/>
    <s v="0.8"/>
    <x v="5"/>
    <x v="5"/>
    <x v="5"/>
    <n v="0"/>
    <n v="0"/>
    <n v="0"/>
    <x v="1"/>
    <x v="0"/>
    <s v="NEGATIVO"/>
    <s v="NEGATIVO"/>
    <s v="NEGATIVO"/>
    <s v="NEGATIVO"/>
    <s v="NEGATIVO"/>
  </r>
  <r>
    <n v="260417010022"/>
    <s v="GONZALEZ CASAS LUIS EDUARDO"/>
    <s v="MASCULINO"/>
    <s v="27 A"/>
    <n v="16.600000000000001"/>
    <n v="30"/>
    <n v="34.299999999999997"/>
    <x v="5"/>
    <x v="6"/>
    <x v="6"/>
    <n v="11.6"/>
    <n v="24.8"/>
    <s v="0.9"/>
    <x v="6"/>
    <x v="6"/>
    <x v="6"/>
    <n v="0"/>
    <n v="0"/>
    <n v="0"/>
    <x v="1"/>
    <x v="3"/>
    <s v="NEGATIVO"/>
    <s v="NEGATIVO"/>
    <s v="NEGATIVO"/>
    <s v="NEGATIVO"/>
    <s v="NEGATIVO"/>
  </r>
  <r>
    <n v="260417010023"/>
    <s v="GONZALEZ RANGEL JOSE MAXIMILIANO"/>
    <s v="MASCULINO"/>
    <s v="33 A"/>
    <n v="16.399999999999999"/>
    <n v="29.8"/>
    <n v="34.5"/>
    <x v="6"/>
    <x v="7"/>
    <x v="7"/>
    <n v="16.5"/>
    <n v="35.299999999999997"/>
    <n v="1"/>
    <x v="7"/>
    <x v="7"/>
    <x v="7"/>
    <n v="0"/>
    <n v="0"/>
    <n v="0"/>
    <x v="1"/>
    <x v="3"/>
    <s v="NEGATIVO"/>
    <s v="NEGATIVO"/>
    <s v="NEGATIVO"/>
    <s v="NEGATIVO"/>
    <s v="NEGATIVO"/>
  </r>
  <r>
    <n v="260417010024"/>
    <s v="GONZALEZ TOMAS SILVESTRE"/>
    <s v="MASCULINO"/>
    <s v="42 A"/>
    <n v="14.9"/>
    <n v="30"/>
    <n v="34.4"/>
    <x v="7"/>
    <x v="5"/>
    <x v="8"/>
    <n v="17.899999999999999"/>
    <n v="38.200000000000003"/>
    <s v="1.2"/>
    <x v="8"/>
    <x v="8"/>
    <x v="8"/>
    <n v="0"/>
    <n v="0"/>
    <n v="0"/>
    <x v="1"/>
    <x v="0"/>
    <s v="NEGATIVO"/>
    <s v="NEGATIVO"/>
    <s v="NEGATIVO"/>
    <s v="NEGATIVO"/>
    <s v="NEGATIVO"/>
  </r>
  <r>
    <n v="260417010025"/>
    <s v="GUZMAN SANABRIA CESAR"/>
    <s v="MASCULINO"/>
    <s v="45 A"/>
    <n v="17"/>
    <n v="31.3"/>
    <n v="35"/>
    <x v="8"/>
    <x v="8"/>
    <x v="9"/>
    <n v="14.8"/>
    <n v="31.7"/>
    <n v="1"/>
    <x v="6"/>
    <x v="9"/>
    <x v="9"/>
    <n v="0"/>
    <n v="0"/>
    <n v="0"/>
    <x v="1"/>
    <x v="0"/>
    <s v="NEGATIVO"/>
    <s v="NEGATIVO"/>
    <s v="NEGATIVO"/>
    <s v="NEGATIVO"/>
    <s v="NEGATIVO"/>
  </r>
  <r>
    <n v="260417010026"/>
    <s v="HERNANDEZ BARRERA MARIA GUADALUPE"/>
    <s v="FEMENINO"/>
    <s v="28 A"/>
    <n v="14.6"/>
    <n v="33.200000000000003"/>
    <n v="34.5"/>
    <x v="9"/>
    <x v="9"/>
    <x v="10"/>
    <n v="9.5"/>
    <n v="20.3"/>
    <s v="0.6"/>
    <x v="9"/>
    <x v="10"/>
    <x v="10"/>
    <n v="0"/>
    <n v="0"/>
    <n v="0"/>
    <x v="0"/>
    <x v="0"/>
    <s v="NEGATIVO"/>
    <s v="NEGATIVO"/>
    <s v="NEGATIVO"/>
    <s v="NEGATIVO"/>
    <s v="NEGATIVO"/>
  </r>
  <r>
    <n v="260417010027"/>
    <s v="HERNANDEZ PEREZ ANGEL ALBERTO"/>
    <s v="MASCULINO"/>
    <s v="33 A"/>
    <n v="14.7"/>
    <n v="27.7"/>
    <n v="32.799999999999997"/>
    <x v="10"/>
    <x v="10"/>
    <x v="11"/>
    <n v="16.3"/>
    <n v="34.799999999999997"/>
    <n v="1"/>
    <x v="10"/>
    <x v="11"/>
    <x v="11"/>
    <n v="0"/>
    <n v="0"/>
    <n v="0"/>
    <x v="1"/>
    <x v="1"/>
    <s v="NEGATIVO"/>
    <s v="NEGATIVO"/>
    <s v="NEGATIVO"/>
    <s v="NEGATIVO"/>
    <s v="NEGATIVO"/>
  </r>
  <r>
    <n v="260417010028"/>
    <s v="MARTINEZ GARCIA LUIS ANGEL"/>
    <s v="MASCULINO"/>
    <s v="28 A"/>
    <n v="13.9"/>
    <n v="30.5"/>
    <n v="34.200000000000003"/>
    <x v="11"/>
    <x v="11"/>
    <x v="12"/>
    <n v="18.3"/>
    <n v="39.299999999999997"/>
    <s v="1.1"/>
    <x v="11"/>
    <x v="12"/>
    <x v="12"/>
    <n v="0"/>
    <n v="0"/>
    <n v="0"/>
    <x v="1"/>
    <x v="1"/>
    <s v="NEGATIVO"/>
    <s v="NEGATIVO"/>
    <s v="NEGATIVO"/>
    <s v="NEGATIVO"/>
    <s v="NEGATIVO"/>
  </r>
  <r>
    <n v="260417010029"/>
    <s v="MEJIA HERNANDEZ JESUS DANIEL"/>
    <s v="MASCULINO"/>
    <s v="30 A"/>
    <n v="17.100000000000001"/>
    <n v="32.799999999999997"/>
    <n v="35"/>
    <x v="12"/>
    <x v="12"/>
    <x v="13"/>
    <n v="17.600000000000001"/>
    <n v="37.700000000000003"/>
    <n v="1"/>
    <x v="12"/>
    <x v="13"/>
    <x v="13"/>
    <n v="0"/>
    <n v="0"/>
    <n v="0"/>
    <x v="1"/>
    <x v="1"/>
    <s v="NEGATIVO"/>
    <s v="NEGATIVO"/>
    <s v="NEGATIVO"/>
    <s v="NEGATIVO"/>
    <s v="NEGATIVO"/>
  </r>
  <r>
    <n v="260417010030"/>
    <s v="MIRANDA CUEVAS HUGO"/>
    <s v="MASCULINO"/>
    <s v="45 A"/>
    <n v="17.2"/>
    <n v="31.4"/>
    <n v="34.700000000000003"/>
    <x v="13"/>
    <x v="4"/>
    <x v="14"/>
    <n v="11.4"/>
    <n v="24.3"/>
    <s v="0.9"/>
    <x v="4"/>
    <x v="14"/>
    <x v="14"/>
    <n v="0"/>
    <n v="0"/>
    <n v="0"/>
    <x v="1"/>
    <x v="1"/>
    <s v="NEGATIVO"/>
    <s v="NEGATIVO"/>
    <s v="NEGATIVO"/>
    <s v="NEGATIVO"/>
    <s v="NEGATIVO"/>
  </r>
  <r>
    <n v="260417010031"/>
    <s v="MORENO RESENDIZ MARCELO"/>
    <s v="MASCULINO"/>
    <s v="44 A"/>
    <n v="16.8"/>
    <n v="30.2"/>
    <n v="34.9"/>
    <x v="11"/>
    <x v="13"/>
    <x v="15"/>
    <n v="16"/>
    <n v="34.299999999999997"/>
    <s v="1.1"/>
    <x v="13"/>
    <x v="15"/>
    <x v="15"/>
    <n v="0"/>
    <n v="0"/>
    <n v="0"/>
    <x v="1"/>
    <x v="1"/>
    <s v="NEGATIVO"/>
    <s v="NEGATIVO"/>
    <s v="NEGATIVO"/>
    <s v="NEGATIVO"/>
    <s v="NEGATIVO"/>
  </r>
  <r>
    <n v="260417010032"/>
    <s v="NIEVES TREJO ADRIAN"/>
    <s v="MASCULINO"/>
    <s v="43 A"/>
    <n v="16.2"/>
    <n v="30.1"/>
    <n v="34.6"/>
    <x v="1"/>
    <x v="14"/>
    <x v="1"/>
    <n v="17.7"/>
    <n v="37.9"/>
    <n v="1"/>
    <x v="14"/>
    <x v="16"/>
    <x v="16"/>
    <n v="0"/>
    <n v="0"/>
    <n v="0"/>
    <x v="1"/>
    <x v="0"/>
    <s v="NEGATIVO"/>
    <s v="NEGATIVO"/>
    <s v="NEGATIVO"/>
    <s v="NEGATIVO"/>
    <s v="NEGATIVO"/>
  </r>
  <r>
    <n v="260417010033"/>
    <s v="OLVERA NIETO RODOLFO"/>
    <s v="MASCULINO"/>
    <s v="32 A"/>
    <n v="17.7"/>
    <n v="30.2"/>
    <n v="35.1"/>
    <x v="14"/>
    <x v="15"/>
    <x v="16"/>
    <n v="20.399999999999999"/>
    <n v="43.6"/>
    <s v="1.2"/>
    <x v="1"/>
    <x v="17"/>
    <x v="17"/>
    <n v="0"/>
    <n v="0"/>
    <n v="0"/>
    <x v="1"/>
    <x v="2"/>
    <s v="NEGATIVO"/>
    <s v="NEGATIVO"/>
    <s v="NEGATIVO"/>
    <s v="NEGATIVO"/>
    <s v="NEGATIVO"/>
  </r>
  <r>
    <n v="260417010034"/>
    <s v="PAREDES TLANEPANTLA PASCUAL"/>
    <s v="MASCULINO"/>
    <s v="29 A"/>
    <s v="15.9"/>
    <s v="29.3"/>
    <s v="34.8"/>
    <x v="15"/>
    <x v="16"/>
    <x v="17"/>
    <n v="21.6"/>
    <n v="48.2"/>
    <s v="0.8"/>
    <x v="15"/>
    <x v="18"/>
    <x v="18"/>
    <n v="0"/>
    <n v="0"/>
    <n v="0"/>
    <x v="1"/>
    <x v="1"/>
    <s v="NEGATIVO"/>
    <s v="NEGATIVO"/>
    <s v="NEGATIVO"/>
    <s v="NEGATIVO"/>
    <s v="NEGATIVO"/>
  </r>
  <r>
    <n v="260417010035"/>
    <s v="PEREZ GARCIA LUIS ANGEL"/>
    <s v="MASCULINO"/>
    <s v="26 A"/>
    <n v="15.7"/>
    <n v="31"/>
    <n v="34.799999999999997"/>
    <x v="16"/>
    <x v="17"/>
    <x v="18"/>
    <n v="12.2"/>
    <n v="26.1"/>
    <n v="1"/>
    <x v="2"/>
    <x v="19"/>
    <x v="19"/>
    <n v="0"/>
    <n v="0"/>
    <n v="0"/>
    <x v="1"/>
    <x v="0"/>
    <s v="NEGATIVO"/>
    <s v="NEGATIVO"/>
    <s v="NEGATIVO"/>
    <s v="NEGATIVO"/>
    <s v="NEGATIVO"/>
  </r>
  <r>
    <n v="260417010036"/>
    <s v="PEREZ NIEVES JUAN ANTONIO"/>
    <s v="MASCULINO"/>
    <s v="37 A"/>
    <s v="15.4"/>
    <s v="29.1"/>
    <s v="35.0"/>
    <x v="15"/>
    <x v="18"/>
    <x v="19"/>
    <n v="23"/>
    <n v="49.2"/>
    <s v="1.0"/>
    <x v="7"/>
    <x v="20"/>
    <x v="20"/>
    <n v="0"/>
    <n v="0"/>
    <n v="0"/>
    <x v="1"/>
    <x v="1"/>
    <s v="NEGATIVO"/>
    <s v="NEGATIVO"/>
    <s v="NEGATIVO"/>
    <s v="NEGATIVO"/>
    <s v="NEGATIVO"/>
  </r>
  <r>
    <n v="260417010037"/>
    <s v="RODRIGUEZ RAMIREZ VICTOR MANUEL"/>
    <s v="MASCULINO"/>
    <s v="44 A"/>
    <n v="16.8"/>
    <n v="33.200000000000003"/>
    <n v="34.4"/>
    <x v="17"/>
    <x v="19"/>
    <x v="20"/>
    <n v="10.7"/>
    <n v="22.8"/>
    <s v="0.8"/>
    <x v="16"/>
    <x v="21"/>
    <x v="21"/>
    <n v="0"/>
    <n v="0"/>
    <n v="0"/>
    <x v="1"/>
    <x v="4"/>
    <s v="NEGATIVO"/>
    <s v="NEGATIVO"/>
    <s v="NEGATIVO"/>
    <s v="NEGATIVO"/>
    <s v="NEGATIVO"/>
  </r>
  <r>
    <n v="260417010038"/>
    <s v="TOLEDO CHAVEZ ALEJANDRO DAVID"/>
    <s v="MASCULINO"/>
    <s v="35 A"/>
    <n v="16.7"/>
    <n v="31.3"/>
    <n v="34.700000000000003"/>
    <x v="2"/>
    <x v="20"/>
    <x v="21"/>
    <n v="15.1"/>
    <n v="32.299999999999997"/>
    <s v="0.9"/>
    <x v="17"/>
    <x v="22"/>
    <x v="22"/>
    <n v="0"/>
    <n v="0"/>
    <n v="10"/>
    <x v="1"/>
    <x v="0"/>
    <s v="NEGATIVO"/>
    <s v="NEGATIVO"/>
    <s v="NEGATIVO"/>
    <s v="NEGATIVO"/>
    <s v="NEGATIVO"/>
  </r>
  <r>
    <n v="260417010039"/>
    <s v="TREJO DON HECTOR MIGUEL"/>
    <s v="MASCULINO"/>
    <s v="39 A"/>
    <n v="16.5"/>
    <n v="30.6"/>
    <n v="34.1"/>
    <x v="12"/>
    <x v="21"/>
    <x v="22"/>
    <n v="18"/>
    <n v="38.5"/>
    <n v="1"/>
    <x v="18"/>
    <x v="23"/>
    <x v="23"/>
    <n v="0"/>
    <n v="0"/>
    <n v="10"/>
    <x v="1"/>
    <x v="1"/>
    <s v="NEGATIVO"/>
    <s v="NEGATIVO"/>
    <s v="NEGATIVO"/>
    <s v="NEGATIVO"/>
    <s v="NEGATIVO"/>
  </r>
  <r>
    <n v="260417010040"/>
    <s v="TREJO LOPEZ JOSE GUADALUPE"/>
    <s v="MASCULINO"/>
    <s v="26 A"/>
    <n v="15.2"/>
    <n v="30.9"/>
    <n v="34.299999999999997"/>
    <x v="18"/>
    <x v="22"/>
    <x v="23"/>
    <n v="10.1"/>
    <n v="21.6"/>
    <s v="0.9"/>
    <x v="19"/>
    <x v="24"/>
    <x v="24"/>
    <n v="0"/>
    <n v="0"/>
    <n v="0"/>
    <x v="1"/>
    <x v="1"/>
    <s v="NEGATIVO"/>
    <s v="NEGATIVO"/>
    <s v="NEGATIVO"/>
    <s v="NEGATIVO"/>
    <s v="NEGATIVO"/>
  </r>
  <r>
    <n v="260417010041"/>
    <s v="VELAZQUEZ MORENO LORENZO"/>
    <s v="MASCULINO"/>
    <s v="41 A"/>
    <n v="17.8"/>
    <n v="30.3"/>
    <n v="34.6"/>
    <x v="19"/>
    <x v="23"/>
    <x v="24"/>
    <n v="16.600000000000001"/>
    <n v="35.4"/>
    <s v="0.9"/>
    <x v="9"/>
    <x v="25"/>
    <x v="25"/>
    <n v="0"/>
    <n v="0"/>
    <n v="0"/>
    <x v="1"/>
    <x v="0"/>
    <s v="NEGATIVO"/>
    <s v="NEGATIVO"/>
    <s v="NEGATIVO"/>
    <s v="NEGATIVO"/>
    <s v="NEGATIVO"/>
  </r>
  <r>
    <n v="260417010042"/>
    <s v="ZAMORA NOGUEZ YONATAN"/>
    <s v="MASCULINO"/>
    <s v="28 A"/>
    <n v="15.6"/>
    <n v="29.8"/>
    <n v="34.700000000000003"/>
    <x v="20"/>
    <x v="24"/>
    <x v="15"/>
    <n v="16.2"/>
    <n v="34.6"/>
    <s v="1.2"/>
    <x v="1"/>
    <x v="26"/>
    <x v="20"/>
    <n v="0"/>
    <n v="0"/>
    <n v="0"/>
    <x v="1"/>
    <x v="1"/>
    <s v="NEGATIVO"/>
    <s v="NEGATIVO"/>
    <s v="NEGATIVO"/>
    <s v="NEGATIVO"/>
    <s v="NEGATIVO"/>
  </r>
  <r>
    <n v="260417010043"/>
    <s v="GONZALEZ GODINEZ LUIS ESTEBAN"/>
    <s v="MASCULINO"/>
    <s v="27 A"/>
    <n v="15.6"/>
    <n v="31.3"/>
    <n v="34.6"/>
    <x v="21"/>
    <x v="25"/>
    <x v="25"/>
    <n v="12.2"/>
    <n v="26.1"/>
    <s v="0.9"/>
    <x v="20"/>
    <x v="27"/>
    <x v="26"/>
    <n v="0"/>
    <n v="0"/>
    <n v="0"/>
    <x v="1"/>
    <x v="5"/>
    <s v="NEGATIVO"/>
    <s v="NEGATIVO"/>
    <s v="NEGATIVO"/>
    <s v="NEGATIVO"/>
    <s v="NEGATIVO"/>
  </r>
  <r>
    <n v="260417010044"/>
    <s v="RAMIREZ DE SANTIAGO IVAN ALEJANDRO"/>
    <s v="MASCULINO"/>
    <s v="44 A"/>
    <n v="16.8"/>
    <n v="32.799999999999997"/>
    <n v="35.9"/>
    <x v="4"/>
    <x v="26"/>
    <x v="26"/>
    <n v="10.4"/>
    <n v="22.3"/>
    <s v="0.8"/>
    <x v="9"/>
    <x v="28"/>
    <x v="27"/>
    <n v="0"/>
    <n v="0"/>
    <n v="0"/>
    <x v="1"/>
    <x v="2"/>
    <s v="NEGATIVO"/>
    <s v="NEGATIVO"/>
    <s v="NEGATIVO"/>
    <s v="NEGATIVO"/>
    <s v="NEGATIVO"/>
  </r>
  <r>
    <n v="260417010045"/>
    <s v="HERNANDEZ DORANTES HUMBERTO"/>
    <s v="MASCULINO"/>
    <s v="22 A"/>
    <n v="16.5"/>
    <n v="30.1"/>
    <n v="34.799999999999997"/>
    <x v="22"/>
    <x v="27"/>
    <x v="27"/>
    <n v="11.4"/>
    <n v="24.5"/>
    <s v="0.8"/>
    <x v="7"/>
    <x v="29"/>
    <x v="28"/>
    <n v="0"/>
    <n v="0"/>
    <n v="0"/>
    <x v="1"/>
    <x v="0"/>
    <s v="NEGATIVO"/>
    <s v="NEGATIVO"/>
    <s v="NEGATIVO"/>
    <s v="NEGATIVO"/>
    <s v="NEGATIVO"/>
  </r>
  <r>
    <n v="260417010046"/>
    <s v="RAMIREZ PEREZ ELISABET"/>
    <s v="FEMENINO"/>
    <s v="36 A"/>
    <n v="13.2"/>
    <n v="28.3"/>
    <n v="33.5"/>
    <x v="23"/>
    <x v="28"/>
    <x v="28"/>
    <n v="10.199999999999999"/>
    <n v="21.8"/>
    <s v="0.7"/>
    <x v="21"/>
    <x v="30"/>
    <x v="29"/>
    <n v="0"/>
    <n v="0"/>
    <n v="0"/>
    <x v="2"/>
    <x v="0"/>
    <s v="NEGATIVO"/>
    <s v="NEGATIVO"/>
    <s v="NEGATIVO"/>
    <s v="NEGATIVO"/>
    <s v="NEGATIVO"/>
  </r>
  <r>
    <n v="260420010008"/>
    <s v="ANGEL MATA JOHAN EDGAR"/>
    <s v="MASCULINO"/>
    <s v="28 A"/>
    <n v="15.9"/>
    <n v="31"/>
    <n v="35"/>
    <x v="24"/>
    <x v="29"/>
    <x v="29"/>
    <n v="8"/>
    <n v="17.2"/>
    <n v="1"/>
    <x v="14"/>
    <x v="31"/>
    <x v="30"/>
    <n v="0"/>
    <n v="0"/>
    <n v="0"/>
    <x v="1"/>
    <x v="0"/>
    <s v="NEGATIVO"/>
    <s v="NEGATIVO"/>
    <s v="NEGATIVO"/>
    <s v="NEGATIVO"/>
    <s v="NEGATIVO"/>
  </r>
  <r>
    <n v="260420010009"/>
    <s v="BOLAÑOS PALACIOS MIREYA"/>
    <s v="FEMENINO"/>
    <s v="42 A"/>
    <n v="13"/>
    <n v="27.6"/>
    <n v="33.4"/>
    <x v="20"/>
    <x v="30"/>
    <x v="30"/>
    <n v="11.2"/>
    <n v="24"/>
    <s v="0.8"/>
    <x v="22"/>
    <x v="32"/>
    <x v="31"/>
    <n v="0"/>
    <n v="0"/>
    <n v="25"/>
    <x v="1"/>
    <x v="0"/>
    <s v="NEGATIVO"/>
    <s v="NEGATIVO"/>
    <s v="NEGATIVO"/>
    <s v="NEGATIVO"/>
    <s v="NEGATIVO"/>
  </r>
  <r>
    <n v="260420010010"/>
    <s v="CANO NAVA HUMBERTO"/>
    <s v="MASCULINO"/>
    <s v="44 A"/>
    <n v="16.3"/>
    <n v="30.6"/>
    <n v="35.299999999999997"/>
    <x v="24"/>
    <x v="31"/>
    <x v="18"/>
    <n v="19.3"/>
    <n v="41.3"/>
    <s v="1.3"/>
    <x v="15"/>
    <x v="33"/>
    <x v="32"/>
    <n v="0"/>
    <n v="0"/>
    <n v="0"/>
    <x v="1"/>
    <x v="1"/>
    <s v="NEGATIVO"/>
    <s v="NEGATIVO"/>
    <s v="NEGATIVO"/>
    <s v="NEGATIVO"/>
    <s v="NEGATIVO"/>
  </r>
  <r>
    <n v="260420010011"/>
    <s v="CORDOBA BANDA MARIO FERNANDO"/>
    <s v="MASCULINO"/>
    <s v="29 A"/>
    <n v="15.5"/>
    <n v="29.4"/>
    <n v="34.4"/>
    <x v="25"/>
    <x v="32"/>
    <x v="31"/>
    <n v="13.6"/>
    <n v="29.2"/>
    <n v="1"/>
    <x v="23"/>
    <x v="34"/>
    <x v="33"/>
    <n v="0"/>
    <n v="0"/>
    <n v="0"/>
    <x v="1"/>
    <x v="0"/>
    <s v="NEGATIVO"/>
    <s v="NEGATIVO"/>
    <s v="NEGATIVO"/>
    <s v="NEGATIVO"/>
    <s v="NEGATIVO"/>
  </r>
  <r>
    <n v="260420010012"/>
    <s v="CORREA CRUZ HUGO ABISAI"/>
    <s v="MASCULINO"/>
    <s v="37 A"/>
    <n v="17.7"/>
    <n v="31"/>
    <n v="34.299999999999997"/>
    <x v="26"/>
    <x v="33"/>
    <x v="32"/>
    <n v="9.9"/>
    <n v="21.2"/>
    <s v="1.1"/>
    <x v="3"/>
    <x v="35"/>
    <x v="34"/>
    <n v="0"/>
    <n v="0"/>
    <n v="0"/>
    <x v="1"/>
    <x v="6"/>
    <s v="NEGATIVO"/>
    <s v="NEGATIVO"/>
    <s v="NEGATIVO"/>
    <s v="NEGATIVO"/>
    <s v="NEGATIVO"/>
  </r>
  <r>
    <n v="260420010013"/>
    <s v="DE LA CRUZ PEREZ JUAN CARLOS"/>
    <s v="MASCULINO"/>
    <s v="49 A"/>
    <n v="16.7"/>
    <n v="29.4"/>
    <n v="34.299999999999997"/>
    <x v="27"/>
    <x v="34"/>
    <x v="33"/>
    <n v="15.1"/>
    <n v="32.4"/>
    <s v="0.8"/>
    <x v="11"/>
    <x v="36"/>
    <x v="35"/>
    <n v="0"/>
    <n v="0"/>
    <n v="0"/>
    <x v="1"/>
    <x v="1"/>
    <s v="NEGATIVO"/>
    <s v="NEGATIVO"/>
    <s v="NEGATIVO"/>
    <s v="NEGATIVO"/>
    <s v="NEGATIVO"/>
  </r>
  <r>
    <n v="260420010014"/>
    <s v="DE LUNA MORALES ANGEL EDUARDO"/>
    <s v="MASCULINO"/>
    <s v="30 A"/>
    <n v="18.399999999999999"/>
    <n v="30.5"/>
    <n v="35.200000000000003"/>
    <x v="28"/>
    <x v="35"/>
    <x v="34"/>
    <n v="20.7"/>
    <n v="44.3"/>
    <s v="1.3"/>
    <x v="2"/>
    <x v="37"/>
    <x v="36"/>
    <n v="0"/>
    <n v="0"/>
    <n v="25"/>
    <x v="1"/>
    <x v="7"/>
    <s v="NEGATIVO"/>
    <s v="NEGATIVO"/>
    <s v="NEGATIVO"/>
    <s v="NEGATIVO"/>
    <s v="NEGATIVO"/>
  </r>
  <r>
    <n v="260420010015"/>
    <s v="DEL AGUA SUAREZ JOSE ISRAEL"/>
    <s v="MASCULINO"/>
    <s v="19 A"/>
    <n v="15.4"/>
    <n v="31.3"/>
    <n v="33.5"/>
    <x v="26"/>
    <x v="36"/>
    <x v="35"/>
    <n v="14.7"/>
    <n v="31.5"/>
    <s v="0.9"/>
    <x v="10"/>
    <x v="38"/>
    <x v="37"/>
    <n v="0"/>
    <n v="0"/>
    <n v="0"/>
    <x v="1"/>
    <x v="1"/>
    <s v="NEGATIVO"/>
    <s v="NEGATIVO"/>
    <s v="NEGATIVO"/>
    <s v="NEGATIVO"/>
    <s v="NEGATIVO"/>
  </r>
  <r>
    <n v="260420010016"/>
    <s v="ENRIQUEZ FAJARDO VICENTE ANTONIO"/>
    <s v="MASCULINO"/>
    <s v="34 A"/>
    <n v="17.899999999999999"/>
    <n v="31.6"/>
    <n v="35.4"/>
    <x v="23"/>
    <x v="37"/>
    <x v="32"/>
    <n v="7.5"/>
    <n v="15"/>
    <s v="1.3"/>
    <x v="24"/>
    <x v="39"/>
    <x v="38"/>
    <n v="0"/>
    <n v="0"/>
    <n v="0"/>
    <x v="1"/>
    <x v="5"/>
    <s v="NEGATIVO"/>
    <s v="NEGATIVO"/>
    <s v="NEGATIVO"/>
    <s v="NEGATIVO"/>
    <s v="NEGATIVO"/>
  </r>
  <r>
    <n v="260420010017"/>
    <s v="GOMEZ MARTINEZ CARLOS"/>
    <s v="MASCULINO"/>
    <s v="34 A"/>
    <n v="16.7"/>
    <n v="31"/>
    <n v="35.1"/>
    <x v="29"/>
    <x v="38"/>
    <x v="36"/>
    <n v="12.9"/>
    <n v="27.5"/>
    <s v="1.1"/>
    <x v="25"/>
    <x v="40"/>
    <x v="39"/>
    <n v="0"/>
    <n v="0"/>
    <n v="0"/>
    <x v="1"/>
    <x v="5"/>
    <s v="NEGATIVO"/>
    <s v="NEGATIVO"/>
    <s v="NEGATIVO"/>
    <s v="NEGATIVO"/>
    <s v="NEGATIVO"/>
  </r>
  <r>
    <n v="260420010018"/>
    <s v="GRIJALVA HERRERA BENJAMIN"/>
    <s v="MASCULINO"/>
    <s v="33 A"/>
    <n v="15.4"/>
    <n v="31.3"/>
    <n v="35.799999999999997"/>
    <x v="14"/>
    <x v="39"/>
    <x v="37"/>
    <n v="13.9"/>
    <n v="29.8"/>
    <s v="1.3"/>
    <x v="26"/>
    <x v="41"/>
    <x v="40"/>
    <n v="0"/>
    <n v="0"/>
    <n v="0"/>
    <x v="0"/>
    <x v="0"/>
    <s v="NEGATIVO"/>
    <s v="NEGATIVO"/>
    <s v="NEGATIVO"/>
    <s v="NEGATIVO"/>
    <s v="NEGATIVO"/>
  </r>
  <r>
    <n v="260420010019"/>
    <s v="HERNANDEZ VILLANUEVA JOSE ROBERTO"/>
    <s v="MASCULINO"/>
    <s v="39 A"/>
    <n v="16"/>
    <n v="30.1"/>
    <n v="34.6"/>
    <x v="19"/>
    <x v="40"/>
    <x v="38"/>
    <n v="10.1"/>
    <n v="21.7"/>
    <n v="1"/>
    <x v="5"/>
    <x v="42"/>
    <x v="41"/>
    <n v="0"/>
    <n v="0"/>
    <n v="0"/>
    <x v="1"/>
    <x v="0"/>
    <s v="NEGATIVO"/>
    <s v="NEGATIVO"/>
    <s v="NEGATIVO"/>
    <s v="NEGATIVO"/>
    <s v="NEGATIVO"/>
  </r>
  <r>
    <n v="260420010020"/>
    <s v="IBARRA FLORES JOSE MANUEL"/>
    <s v="MASCULINO"/>
    <s v="28 A"/>
    <n v="16.899999999999999"/>
    <n v="30.7"/>
    <n v="35.299999999999997"/>
    <x v="4"/>
    <x v="41"/>
    <x v="39"/>
    <n v="16.399999999999999"/>
    <n v="35.1"/>
    <s v="1.1"/>
    <x v="10"/>
    <x v="43"/>
    <x v="42"/>
    <n v="0"/>
    <s v="0.15"/>
    <n v="0"/>
    <x v="1"/>
    <x v="1"/>
    <s v="NEGATIVO"/>
    <s v="NEGATIVO"/>
    <s v="NEGATIVO"/>
    <s v="NEGATIVO"/>
    <s v="NEGATIVO"/>
  </r>
  <r>
    <n v="260420010021"/>
    <s v="IBARRA LARA JULIO CESAR"/>
    <s v="MASCULINO"/>
    <s v="40 A"/>
    <n v="17.5"/>
    <n v="32.200000000000003"/>
    <n v="35"/>
    <x v="30"/>
    <x v="28"/>
    <x v="2"/>
    <n v="11.5"/>
    <n v="24.6"/>
    <s v="1.1"/>
    <x v="27"/>
    <x v="44"/>
    <x v="43"/>
    <n v="0"/>
    <n v="0"/>
    <n v="0"/>
    <x v="1"/>
    <x v="2"/>
    <s v="NEGATIVO"/>
    <s v="NEGATIVO"/>
    <s v="NEGATIVO"/>
    <s v="NEGATIVO"/>
    <s v="NEGATIVO"/>
  </r>
  <r>
    <n v="260420010022"/>
    <s v="JIMENEZ GONZALEZ ROBERTO"/>
    <s v="MASCULINO"/>
    <s v="30 A"/>
    <n v="15.3"/>
    <n v="28.9"/>
    <n v="34.200000000000003"/>
    <x v="20"/>
    <x v="42"/>
    <x v="40"/>
    <n v="14.9"/>
    <n v="32"/>
    <n v="1"/>
    <x v="28"/>
    <x v="45"/>
    <x v="44"/>
    <n v="0"/>
    <n v="0"/>
    <n v="0"/>
    <x v="1"/>
    <x v="0"/>
    <s v="NEGATIVO"/>
    <s v="NEGATIVO"/>
    <s v="NEGATIVO"/>
    <s v="NEGATIVO"/>
    <s v="NEGATIVO"/>
  </r>
  <r>
    <n v="260420010023"/>
    <s v="JIMENEZ MEDINA RAMIRO"/>
    <s v="MASCULINO"/>
    <s v="34 A"/>
    <n v="16.100000000000001"/>
    <n v="32.4"/>
    <n v="35.1"/>
    <x v="31"/>
    <x v="43"/>
    <x v="11"/>
    <n v="19.3"/>
    <n v="41.3"/>
    <s v="1.1"/>
    <x v="27"/>
    <x v="11"/>
    <x v="45"/>
    <n v="0"/>
    <n v="0"/>
    <n v="0"/>
    <x v="1"/>
    <x v="0"/>
    <s v="NEGATIVO"/>
    <s v="NEGATIVO"/>
    <s v="NEGATIVO"/>
    <s v="NEGATIVO"/>
    <s v="NEGATIVO"/>
  </r>
  <r>
    <n v="260420010024"/>
    <s v="LUNA RODRIGUEZ AARON"/>
    <s v="MASCULINO"/>
    <s v="33 A"/>
    <n v="15.6"/>
    <n v="30.1"/>
    <n v="34.9"/>
    <x v="27"/>
    <x v="44"/>
    <x v="31"/>
    <n v="13.9"/>
    <n v="29.7"/>
    <n v="1"/>
    <x v="23"/>
    <x v="46"/>
    <x v="46"/>
    <n v="0"/>
    <n v="0"/>
    <n v="0"/>
    <x v="1"/>
    <x v="0"/>
    <s v="NEGATIVO"/>
    <s v="NEGATIVO"/>
    <s v="NEGATIVO"/>
    <s v="NEGATIVO"/>
    <s v="NEGATIVO"/>
  </r>
  <r>
    <n v="260420010025"/>
    <s v="MARTINEZ PEREZ ANTONIO"/>
    <s v="MASCULINO"/>
    <s v="48 A"/>
    <n v="15.5"/>
    <n v="32.700000000000003"/>
    <n v="35.4"/>
    <x v="3"/>
    <x v="45"/>
    <x v="41"/>
    <n v="11.4"/>
    <n v="24.4"/>
    <s v="0.9"/>
    <x v="11"/>
    <x v="47"/>
    <x v="47"/>
    <n v="0"/>
    <n v="0"/>
    <n v="0"/>
    <x v="1"/>
    <x v="4"/>
    <s v="NEGATIVO"/>
    <s v="NEGATIVO"/>
    <s v="NEGATIVO"/>
    <s v="NEGATIVO"/>
    <s v="NEGATIVO"/>
  </r>
  <r>
    <n v="260420010026"/>
    <s v="MEDINA RODRIGUEZ MARTIN"/>
    <s v="MASCULINO"/>
    <s v="26 A"/>
    <s v="16.2"/>
    <s v="30.0"/>
    <s v="35.1"/>
    <x v="21"/>
    <x v="46"/>
    <x v="42"/>
    <s v="24.2"/>
    <s v="51.8"/>
    <s v="1.2"/>
    <x v="12"/>
    <x v="48"/>
    <x v="48"/>
    <n v="0"/>
    <n v="0"/>
    <n v="0"/>
    <x v="1"/>
    <x v="0"/>
    <s v="NEGATIVO"/>
    <s v="NEGATIVO"/>
    <s v="NEGATIVO"/>
    <s v="NEGATIVO"/>
    <s v="NEGATIVO"/>
  </r>
  <r>
    <n v="260420010027"/>
    <s v="MERINO ENRIQUEZ ROBERTO EBER"/>
    <s v="MASCULINO"/>
    <s v="34 A"/>
    <n v="14.7"/>
    <n v="28.5"/>
    <n v="35.4"/>
    <x v="32"/>
    <x v="47"/>
    <x v="43"/>
    <n v="15.7"/>
    <n v="33.5"/>
    <s v="1.3"/>
    <x v="10"/>
    <x v="49"/>
    <x v="49"/>
    <n v="0"/>
    <n v="0"/>
    <n v="0"/>
    <x v="0"/>
    <x v="0"/>
    <s v="NEGATIVO"/>
    <s v="NEGATIVO"/>
    <s v="NEGATIVO"/>
    <s v="NEGATIVO"/>
    <s v="NEGATIVO"/>
  </r>
  <r>
    <n v="260420010028"/>
    <s v="RAMOS RAMIREZ OSCAR FRANCISCO"/>
    <s v="MASCULINO"/>
    <s v="33 A"/>
    <s v="16.0"/>
    <s v="31.0"/>
    <s v="35.0"/>
    <x v="33"/>
    <x v="48"/>
    <x v="44"/>
    <s v="22.2"/>
    <s v="47.6"/>
    <s v="1.2"/>
    <x v="29"/>
    <x v="50"/>
    <x v="50"/>
    <n v="0"/>
    <n v="0"/>
    <n v="0"/>
    <x v="1"/>
    <x v="1"/>
    <s v="NEGATIVO"/>
    <s v="NEGATIVO"/>
    <s v="NEGATIVO"/>
    <s v="NEGATIVO"/>
    <s v="NEGATIVO"/>
  </r>
  <r>
    <n v="260420010029"/>
    <s v="REYES CAMPOS VICTOR"/>
    <s v="MASCULINO"/>
    <s v="50 A"/>
    <s v="16.3"/>
    <s v="31.6"/>
    <s v="34.1"/>
    <x v="34"/>
    <x v="49"/>
    <x v="45"/>
    <s v="22.4"/>
    <s v="48.0"/>
    <s v="1.2"/>
    <x v="30"/>
    <x v="51"/>
    <x v="51"/>
    <n v="0"/>
    <n v="0"/>
    <n v="0"/>
    <x v="1"/>
    <x v="8"/>
    <s v="NEGATIVO"/>
    <s v="NEGATIVO"/>
    <s v="NEGATIVO"/>
    <s v="NEGATIVO"/>
    <s v="NEGATIVO"/>
  </r>
  <r>
    <n v="260420010030"/>
    <s v="SERVIN ARREOLA JOSE FRANCISCO"/>
    <s v="MASCULINO"/>
    <s v="28 A"/>
    <n v="17.399999999999999"/>
    <n v="29.9"/>
    <n v="35.9"/>
    <x v="1"/>
    <x v="50"/>
    <x v="46"/>
    <n v="16.3"/>
    <n v="35"/>
    <s v="1.1"/>
    <x v="1"/>
    <x v="52"/>
    <x v="52"/>
    <n v="0"/>
    <n v="0"/>
    <n v="0"/>
    <x v="1"/>
    <x v="0"/>
    <s v="NEGATIVO"/>
    <s v="NEGATIVO"/>
    <s v="NEGATIVO"/>
    <s v="NEGATIVO"/>
    <s v="NEGATIVO"/>
  </r>
  <r>
    <n v="260420010031"/>
    <s v="TREJO TREJO GUSTAVO CRUZ"/>
    <s v="MASCULINO"/>
    <s v="48 A"/>
    <n v="15.3"/>
    <n v="29.7"/>
    <n v="34.5"/>
    <x v="2"/>
    <x v="51"/>
    <x v="47"/>
    <n v="15.3"/>
    <n v="32.700000000000003"/>
    <s v="1.1"/>
    <x v="6"/>
    <x v="53"/>
    <x v="53"/>
    <n v="0"/>
    <n v="0"/>
    <n v="0"/>
    <x v="0"/>
    <x v="6"/>
    <s v="NEGATIVO"/>
    <s v="NEGATIVO"/>
    <s v="NEGATIVO"/>
    <s v="NEGATIVO"/>
    <s v="NEGATIVO"/>
  </r>
  <r>
    <n v="260420010032"/>
    <s v="VEGA RUIZ HECTOR MIGUEL"/>
    <s v="MASCULINO"/>
    <s v="31 A"/>
    <n v="14.9"/>
    <n v="30.8"/>
    <n v="34.9"/>
    <x v="1"/>
    <x v="52"/>
    <x v="48"/>
    <n v="15"/>
    <n v="32.1"/>
    <s v="1.1"/>
    <x v="18"/>
    <x v="54"/>
    <x v="54"/>
    <n v="0"/>
    <n v="0"/>
    <n v="0"/>
    <x v="1"/>
    <x v="0"/>
    <s v="NEGATIVO"/>
    <s v="NEGATIVO"/>
    <s v="NEGATIVO"/>
    <s v="NEGATIVO"/>
    <s v="NEGATIVO"/>
  </r>
  <r>
    <n v="260420010033"/>
    <s v="VELA REYES JESUS GUSTAVO"/>
    <s v="MASCULINO"/>
    <s v="34 A"/>
    <n v="16.399999999999999"/>
    <n v="29.5"/>
    <n v="34.5"/>
    <x v="35"/>
    <x v="53"/>
    <x v="33"/>
    <n v="20.100000000000001"/>
    <n v="43"/>
    <s v="1.3"/>
    <x v="16"/>
    <x v="55"/>
    <x v="55"/>
    <n v="0"/>
    <s v="0.3"/>
    <n v="0"/>
    <x v="1"/>
    <x v="2"/>
    <s v="NEGATIVO"/>
    <s v="NEGATIVO"/>
    <s v="NEGATIVO"/>
    <s v="NEGATIVO"/>
    <s v="NEGATIVO"/>
  </r>
  <r>
    <n v="260420010034"/>
    <s v="VINIEGRA DIAZ LUIS EDUARDO"/>
    <s v="MASCULINO"/>
    <s v="29 A"/>
    <n v="18"/>
    <n v="29.7"/>
    <n v="35"/>
    <x v="32"/>
    <x v="54"/>
    <x v="16"/>
    <n v="14.7"/>
    <n v="31.4"/>
    <s v="1.3"/>
    <x v="27"/>
    <x v="56"/>
    <x v="56"/>
    <n v="0"/>
    <n v="0"/>
    <n v="0"/>
    <x v="1"/>
    <x v="2"/>
    <s v="NEGATIVO"/>
    <s v="NEGATIVO"/>
    <s v="NEGATIVO"/>
    <s v="NEGATIVO"/>
    <s v="NEGATIVO"/>
  </r>
  <r>
    <n v="260420010035"/>
    <s v="ZARATE HERNANDEZ NEMESIO"/>
    <s v="MASCULINO"/>
    <s v="45 A"/>
    <n v="15.9"/>
    <n v="30.2"/>
    <n v="34.1"/>
    <x v="36"/>
    <x v="24"/>
    <x v="49"/>
    <n v="11.1"/>
    <n v="23.7"/>
    <s v="1.1"/>
    <x v="14"/>
    <x v="36"/>
    <x v="57"/>
    <n v="0"/>
    <n v="0"/>
    <n v="0"/>
    <x v="1"/>
    <x v="2"/>
    <s v="NEGATIVO"/>
    <s v="NEGATIVO"/>
    <s v="NEGATIVO"/>
    <s v="NEGATIVO"/>
    <s v="NEGATIVO"/>
  </r>
  <r>
    <n v="260420010036"/>
    <s v="VELAZCO VELAZCO ERICK ROBERTO"/>
    <s v="MASCULINO"/>
    <s v="26 A"/>
    <n v="15.2"/>
    <n v="28.5"/>
    <n v="34.700000000000003"/>
    <x v="37"/>
    <x v="55"/>
    <x v="13"/>
    <n v="10.7"/>
    <n v="22.9"/>
    <s v="0.9"/>
    <x v="31"/>
    <x v="57"/>
    <x v="58"/>
    <n v="0"/>
    <n v="0"/>
    <n v="0"/>
    <x v="1"/>
    <x v="6"/>
    <s v="NEGATIVO"/>
    <s v="NEGATIVO"/>
    <s v="NEGATIVO"/>
    <s v="NEGATIVO"/>
    <s v="NEGATIVO"/>
  </r>
  <r>
    <n v="260420010037"/>
    <s v="PEÑA SOTO JUAN CARLOS"/>
    <s v="MASCULINO"/>
    <s v="25 A"/>
    <n v="17.2"/>
    <n v="33.200000000000003"/>
    <n v="36"/>
    <x v="28"/>
    <x v="20"/>
    <x v="50"/>
    <n v="11.7"/>
    <n v="25.1"/>
    <s v="1.2"/>
    <x v="32"/>
    <x v="0"/>
    <x v="59"/>
    <s v="2.8"/>
    <s v="0.5"/>
    <n v="0"/>
    <x v="1"/>
    <x v="5"/>
    <s v="NEGATIVO"/>
    <s v="NEGATIVO"/>
    <s v="NEGATIVO"/>
    <s v="NEGATIVO"/>
    <s v="NEGATIVO"/>
  </r>
  <r>
    <n v="260420010038"/>
    <s v="HERNANDEZ HUERTA URIEL"/>
    <s v="MASCULINO"/>
    <s v="25 A"/>
    <n v="17.2"/>
    <n v="30.2"/>
    <n v="36.4"/>
    <x v="1"/>
    <x v="56"/>
    <x v="51"/>
    <n v="11.6"/>
    <n v="24.9"/>
    <n v="1"/>
    <x v="25"/>
    <x v="58"/>
    <x v="60"/>
    <n v="0"/>
    <n v="0"/>
    <n v="0"/>
    <x v="1"/>
    <x v="0"/>
    <s v="NEGATIVO"/>
    <s v="NEGATIVO"/>
    <s v="NEGATIVO"/>
    <s v="NEGATIVO"/>
    <s v="NEGATIVO"/>
  </r>
  <r>
    <n v="260420010039"/>
    <s v="TELLO RAMIREZ BERTHA ALICIA"/>
    <s v="FEMENINO"/>
    <s v="44 A"/>
    <n v="13.6"/>
    <n v="31.9"/>
    <n v="34.5"/>
    <x v="38"/>
    <x v="35"/>
    <x v="2"/>
    <n v="19.3"/>
    <n v="41.4"/>
    <s v="0.8"/>
    <x v="33"/>
    <x v="59"/>
    <x v="61"/>
    <n v="0"/>
    <n v="0"/>
    <n v="25"/>
    <x v="1"/>
    <x v="0"/>
    <s v="NEGATIVO"/>
    <s v="NEGATIVO"/>
    <s v="NEGATIVO"/>
    <s v="NEGATIVO"/>
    <s v="NEGATIVO"/>
  </r>
  <r>
    <n v="260420010040"/>
    <s v="CRUZ MARTINEZ EDUARDO MISAEL"/>
    <s v="MASCULINO"/>
    <s v="28 A"/>
    <n v="17.399999999999999"/>
    <n v="30.4"/>
    <n v="35.200000000000003"/>
    <x v="39"/>
    <x v="57"/>
    <x v="52"/>
    <n v="11.4"/>
    <n v="24.4"/>
    <s v="0.9"/>
    <x v="20"/>
    <x v="60"/>
    <x v="62"/>
    <n v="0"/>
    <n v="0"/>
    <n v="0"/>
    <x v="1"/>
    <x v="0"/>
    <s v="NEGATIVO"/>
    <s v="NEGATIVO"/>
    <s v="NEGATIVO"/>
    <s v="NEGATIVO"/>
    <s v="NEGATIVO"/>
  </r>
  <r>
    <n v="260420010041"/>
    <s v="TELLO RAMIREZ OSCAR WENSESLAO"/>
    <s v="MASCULINO"/>
    <s v="55 A"/>
    <n v="16.3"/>
    <n v="29.3"/>
    <n v="34.5"/>
    <x v="37"/>
    <x v="7"/>
    <x v="53"/>
    <n v="17.7"/>
    <n v="37.799999999999997"/>
    <s v="1.1"/>
    <x v="2"/>
    <x v="61"/>
    <x v="63"/>
    <n v="0"/>
    <n v="0"/>
    <n v="10"/>
    <x v="1"/>
    <x v="0"/>
    <s v="NEGATIVO"/>
    <s v="NEGATIVO"/>
    <s v="NEGATIVO"/>
    <s v="NEGATIVO"/>
    <s v="NEGATIVO"/>
  </r>
  <r>
    <n v="260420010042"/>
    <s v="RODRIGUEZ POLO JOEL"/>
    <s v="MASCULINO"/>
    <s v="38 A"/>
    <n v="15.8"/>
    <n v="33.4"/>
    <n v="35.5"/>
    <x v="40"/>
    <x v="58"/>
    <x v="54"/>
    <n v="8.6"/>
    <n v="18.399999999999999"/>
    <s v="1.1"/>
    <x v="21"/>
    <x v="62"/>
    <x v="64"/>
    <n v="0"/>
    <n v="0"/>
    <n v="0"/>
    <x v="1"/>
    <x v="0"/>
    <s v="NEGATIVO"/>
    <s v="NEGATIVO"/>
    <s v="NEGATIVO"/>
    <s v="NEGATIVO"/>
    <s v="NEGATIVO"/>
  </r>
  <r>
    <n v="260420010043"/>
    <s v="QUINTANAR SANTOS JOSE EDUARDO"/>
    <s v="MASCULINO"/>
    <s v="39 A"/>
    <n v="15.4"/>
    <n v="33"/>
    <n v="34.200000000000003"/>
    <x v="5"/>
    <x v="18"/>
    <x v="55"/>
    <n v="11.2"/>
    <n v="24"/>
    <n v="1"/>
    <x v="19"/>
    <x v="63"/>
    <x v="65"/>
    <n v="28"/>
    <s v="0.15"/>
    <n v="0"/>
    <x v="1"/>
    <x v="0"/>
    <s v="NEGATIVO"/>
    <s v="NEGATIVO"/>
    <s v="NEGATIVO"/>
    <s v="NEGATIVO"/>
    <s v="NEGATIVO"/>
  </r>
  <r>
    <n v="260420010044"/>
    <s v="ZOTO SANCHEZ MARIO KEVIN"/>
    <s v="MASCULINO"/>
    <s v="32 A"/>
    <n v="16.399999999999999"/>
    <n v="31.3"/>
    <n v="36.1"/>
    <x v="7"/>
    <x v="59"/>
    <x v="14"/>
    <n v="14.5"/>
    <n v="31"/>
    <s v="0.9"/>
    <x v="3"/>
    <x v="64"/>
    <x v="66"/>
    <n v="0"/>
    <n v="0"/>
    <n v="0"/>
    <x v="1"/>
    <x v="1"/>
    <s v="NEGATIVO"/>
    <s v="NEGATIVO"/>
    <s v="NEGATIVO"/>
    <s v="NEGATIVO"/>
    <s v="NEGATIVO"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  <r>
    <m/>
    <m/>
    <m/>
    <m/>
    <m/>
    <m/>
    <m/>
    <x v="41"/>
    <x v="60"/>
    <x v="56"/>
    <m/>
    <m/>
    <m/>
    <x v="34"/>
    <x v="65"/>
    <x v="67"/>
    <m/>
    <m/>
    <m/>
    <x v="3"/>
    <x v="9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168058"/>
    <s v="AGUILAR ARREOLA JOSE DAVID"/>
    <s v="MASCULINO"/>
    <x v="0"/>
    <x v="0"/>
    <x v="0"/>
    <x v="0"/>
    <x v="0"/>
    <x v="0"/>
    <s v="Audición Normal "/>
    <s v="Audición Normal"/>
    <x v="0"/>
    <x v="0"/>
    <n v="0.93"/>
    <x v="0"/>
    <s v="Electrocardiograma en reposo sin datos de anormalidad al momento del estudio"/>
    <x v="0"/>
    <x v="0"/>
    <x v="0"/>
    <s v="DESVIACION LEVOCONVEXA LUMBOSACRA ( 3 ° ) CON LORDOSIS NORMAL Y CON ANGULO DE 36 °. NO SE IDENTIFICAN FRACTURAS NI TUMORACIONES."/>
    <s v="TORAX RADIOLOGICAMENTE NORMAL, SIN EVIDENCIA DE PATOLOGÍA AGUDA O EVOLUTIVA APARENTE."/>
  </r>
  <r>
    <n v="168055"/>
    <s v="ALDABALDE MARTINEZ SAUL"/>
    <s v="MASCULINO"/>
    <x v="0"/>
    <x v="1"/>
    <x v="0"/>
    <x v="0"/>
    <x v="0"/>
    <x v="1"/>
    <s v="Audición Normal, Datos de Fatiga Auditiva"/>
    <s v="Audición Normal, Datos de Fatiga Auditiva"/>
    <x v="1"/>
    <x v="0"/>
    <n v="0.91"/>
    <x v="0"/>
    <s v="Electrocardiograma en reposo sin datos de anormalidad al momento del estudio"/>
    <x v="0"/>
    <x v="1"/>
    <x v="0"/>
    <s v="DESVIACION DEXTROCONVEXA LUMBOSACRA ( 3 ° ) CON HIPERLORDOSIS Y CON ANGULO DE 40 °. ESTRECHAMIENTO L4-5-S1 NO SE IDENTIFICAN FRACTURAS NI TUMORACIONES."/>
    <s v="TORAX RADIOLOGICAMENTE NORMAL, SIN EVIDENCIA DE PATOLOGÍA AGUDA O EVOLUTIVA APARENTE. PROB. GRANULOMA PARAHILIAR DERECHO."/>
  </r>
  <r>
    <n v="168182"/>
    <s v="ANGEL MATA JOHAN EDAGR"/>
    <s v="MASCULINO"/>
    <x v="1"/>
    <x v="2"/>
    <x v="1"/>
    <x v="0"/>
    <x v="0"/>
    <x v="1"/>
    <s v="Audición Normal "/>
    <s v="Audición Normal, Datos de Fatiga Auditiva"/>
    <x v="2"/>
    <x v="1"/>
    <n v="0.76"/>
    <x v="1"/>
    <s v="Electrocardiograma en reposo sin datos de anormalidad al momento del estudio"/>
    <x v="0"/>
    <x v="2"/>
    <x v="0"/>
    <s v="DESVIACION LEVOCONVEXA LUMBOSACRA ( 3 ° ) CON LORDOSIS NORMAL Y CON ANGULO DE 30 °. LIGERO PINZAMIENTO L5-S1. NO SE IDENTIFICAN FRACTURAS NI TUMORACIONES."/>
    <s v="TORAX RADIOLOGICAMENTE NORMAL, SIN EVIDENCIA DE PATOLOGÍA AGUDA O EVOLUTIVA APARENTE."/>
  </r>
  <r>
    <n v="168023"/>
    <s v="ARREDONDO ORTIZ VIRTOR HUGO"/>
    <s v="MASCULINO"/>
    <x v="2"/>
    <x v="3"/>
    <x v="1"/>
    <x v="0"/>
    <x v="0"/>
    <x v="1"/>
    <s v="Audición Normal, Datos de Fatiga Auditiva"/>
    <s v="Audición Normal, Datos de Fatiga Auditiva"/>
    <x v="3"/>
    <x v="0"/>
    <n v="0.85"/>
    <x v="0"/>
    <s v="Electrocardiograma en reposo sin datos de anormalidad al momento del estudio"/>
    <x v="1"/>
    <x v="1"/>
    <x v="0"/>
    <s v="DESVIACION DEXTROCONVEXA LUMBOSACRA ( 5 ° ) CON HIPERLORDOSIS Y CON ANGULO DE 40 °. PINZAMIENTO L-5-S1 NO SE IDENTIFICAN FRACTURAS NI TUMORACIONES."/>
    <s v="TORAX RADIOLOGICAMENTE NORMAL, SIN EVIDENCIA DE PATOLOGÍA AGUDA O EVOLUTIVA APARENTE."/>
  </r>
  <r>
    <n v="168151"/>
    <s v="BOLAÑOS PALACIOS MIREYA"/>
    <s v="FEMENINO"/>
    <x v="1"/>
    <x v="4"/>
    <x v="2"/>
    <x v="1"/>
    <x v="1"/>
    <x v="0"/>
    <s v="Audición Normal "/>
    <s v="Audición Normal"/>
    <x v="4"/>
    <x v="2"/>
    <s v="N/A"/>
    <x v="0"/>
    <s v="N/A"/>
    <x v="0"/>
    <x v="3"/>
    <x v="0"/>
    <s v="DESVIACION LEVOCONVEXA LUMBOSACRA ( 3° ) CON HIPERLORDOSIS, INESTABILIDAD LUMBAR Y CON ANGULO DE 45°. BOSTEZO Y LIGERO PINZAMIENTO L5-S1. NO SE IDENTIFICAN FRACTURAS NI TUMORACIONES."/>
    <s v="N/A"/>
  </r>
  <r>
    <n v="168092"/>
    <s v="CANO NAVA HUMBERTO"/>
    <s v="MASCULINO"/>
    <x v="0"/>
    <x v="5"/>
    <x v="1"/>
    <x v="0"/>
    <x v="0"/>
    <x v="2"/>
    <s v="Hipoacusia Neurosensorial, Leve , Sugestivo de Trauma Acústico crónico por ruido "/>
    <s v="Audición Normal, Datos de Fatiga Auditiva"/>
    <x v="5"/>
    <x v="0"/>
    <n v="1"/>
    <x v="1"/>
    <s v="Bradicardia sinusal, resto del estudio sin datos de anormalidad al momento del estudio "/>
    <x v="2"/>
    <x v="4"/>
    <x v="0"/>
    <s v="DESVIACION DEXTROCONVEXA LUMBOSACRA ( 2 ° ) CON HIPERLORDOSIS, INESTABILIDAD LUMBAR Y CON ANGULO DE 46 °. PINZAMIENTO L5-S1. NO SE IDENTIFICAN FRACTURAS NI TUMORACIONES."/>
    <s v="TORAX RADIOLOGICAMENTE NORMAL, SIN EVIDENCIA DE PATOLOGÍA AGUDA O EVOLUTIVA APARENTE."/>
  </r>
  <r>
    <n v="168107"/>
    <s v="CORDOBA BANDA MARIO FERNANDO"/>
    <s v="MASCULINO"/>
    <x v="0"/>
    <x v="6"/>
    <x v="1"/>
    <x v="0"/>
    <x v="0"/>
    <x v="0"/>
    <s v="Audición Normal "/>
    <s v="Audición Normal"/>
    <x v="3"/>
    <x v="0"/>
    <s v="FEV1: 88%"/>
    <x v="0"/>
    <s v="Electrocardiograma en reposo sin datos de anormalidad al momento del estudio"/>
    <x v="0"/>
    <x v="3"/>
    <x v="0"/>
    <s v="DESVIACION DEXTROCONVEXA LUMBOSACRA ( 3 ° ) CON HIPERLORDOSIS, INESTABILIDAD LUMBAR Y CON ANGULO DE 45 °. NO SE IDENTIFICAN FRACTURAS NI TUMORACIONES."/>
    <s v="TORAX RADIOLOGICAMENTE NORMAL, SIN EVIDENCIA DE PATOLOGÍA AGUDA O EVOLUTIVA APARENTE."/>
  </r>
  <r>
    <n v="168132"/>
    <s v="CORREA CRUZ HUGO ABISAI"/>
    <s v="MASCULINO"/>
    <x v="0"/>
    <x v="7"/>
    <x v="1"/>
    <x v="0"/>
    <x v="0"/>
    <x v="2"/>
    <s v="Hipoacusia Neurosensorial, Leve , Sugestivo de Trauma Acústico crónico por ruido "/>
    <s v="Hipoacusia Neurosensorial, Leve, Sugestivo de Trauma Acústico crónico por ruido"/>
    <x v="6"/>
    <x v="1"/>
    <n v="0.77"/>
    <x v="0"/>
    <s v="Electrocardiograma en reposo sin datos de anormalidad al momento del estudio"/>
    <x v="0"/>
    <x v="5"/>
    <x v="0"/>
    <s v="DESVIACION DEXTROCONVEXA LUMBOSACRA ( 3 ° ) CON HIPERLORDOSIS Y CON ANGULO DE 44 °. NO SE IDENTIFICAN FRACTURAS NI TUMORACIONES."/>
    <s v="TORAX RADIOLOGICAMENTE NORMAL, SIN EVIDENCIA DE PATOLOGÍA AGUDA O EVOLUTIVA APARENTE."/>
  </r>
  <r>
    <n v="168146"/>
    <s v="CRUZ MARTINEZ EDUARDO MISAEL"/>
    <s v="MASCULINO"/>
    <x v="3"/>
    <x v="8"/>
    <x v="0"/>
    <x v="0"/>
    <x v="0"/>
    <x v="0"/>
    <s v="Audición Normal "/>
    <s v="Audición Normal"/>
    <x v="3"/>
    <x v="1"/>
    <n v="0.73"/>
    <x v="0"/>
    <s v="Electrocardiograma en reposo sin datos de anormalidad al momento del estudio"/>
    <x v="1"/>
    <x v="5"/>
    <x v="1"/>
    <s v="DESVIACION LEVOCONVEXA LUMBOSACRA ( 5 ° ) CON HIPERLORDOSIS, INESTABILIDAD LUMBAR Y CON ANGULO DE 44 °. PINZAMIENTO L5-S1. NO SE IDENTIFICAN FRACTURAS NI TUMORACIONES. BASCULACION PELVICA IZQUIERDA DE 1.0 cm."/>
    <s v="TORAX RADIOLOGICAMENTE NORMAL, SIN EVIDENCIA DE PATOLOGÍA AGUDA O EVOLUTIVA APARENTE."/>
  </r>
  <r>
    <n v="168094"/>
    <s v="DE LA CRUZ PEREZ JUAN CARLOS"/>
    <s v="MASCULINO"/>
    <x v="0"/>
    <x v="6"/>
    <x v="3"/>
    <x v="0"/>
    <x v="0"/>
    <x v="2"/>
    <s v="Hipoacusia Neurosensorial, Leve , Sugestivo de Trauma Acústico crónico por ruido "/>
    <s v="Audición Normal"/>
    <x v="7"/>
    <x v="1"/>
    <n v="0.74"/>
    <x v="0"/>
    <s v="Electrocardiograma en reposo sin datos de anormalidad al momento del estudio"/>
    <x v="3"/>
    <x v="1"/>
    <x v="0"/>
    <s v="DESVIACION DEXTROCONVEXA LUMBOSACRA ( 6 ° ) CON HIPERLORDOSIS Y CON ANGULO DE 40 °. BOSTEZO L5-S1. NO SE IDENTIFICAN FRACTURAS NI TUMORACIONES."/>
    <s v="TORAX RADIOLOGICAMENTE NORMAL, SIN EVIDENCIA DE PATOLOGÍA AGUDA O EVOLUTIVA APARENTE."/>
  </r>
  <r>
    <n v="168100"/>
    <s v="DE LUNA MORALES ANGEL EDUARDO"/>
    <s v="MASCULINO"/>
    <x v="2"/>
    <x v="9"/>
    <x v="1"/>
    <x v="0"/>
    <x v="0"/>
    <x v="1"/>
    <s v="Audición Normal "/>
    <s v="Audición Normal, Datos de Fatiga Auditiva"/>
    <x v="8"/>
    <x v="0"/>
    <n v="0.86"/>
    <x v="0"/>
    <s v="Electrocardiograma en reposo sin datos de anormalidad al momento del estudio"/>
    <x v="1"/>
    <x v="0"/>
    <x v="0"/>
    <s v="DESVIACION LEVOCONVEXA LUMBOSACRA ( 5 ° ) CON LORDOSIS NORMAL Y CON ANGULO DE 36 °. PINZAMIENTO L5-S1. NO SE IDENTIFICAN FRACTURAS NI TUMORACIONES."/>
    <s v="TORAX RADIOLOGICAMENTE NORMAL, SIN EVIDENCIA DE PATOLOGÍA AGUDA O EVOLUTIVA APARENTE."/>
  </r>
  <r>
    <n v="168178"/>
    <s v="DEL AGUA SUAREZ JOSE ISRAEL"/>
    <s v="MASCULINO"/>
    <x v="4"/>
    <x v="10"/>
    <x v="1"/>
    <x v="0"/>
    <x v="0"/>
    <x v="0"/>
    <s v="Audición Normal "/>
    <s v="Audición Normal"/>
    <x v="9"/>
    <x v="0"/>
    <n v="0.8"/>
    <x v="0"/>
    <s v="Bradicardia sinusal, resto del estudio sin datos de anormalidad al momento del estudio "/>
    <x v="4"/>
    <x v="6"/>
    <x v="0"/>
    <s v="DESVIACION DEXTROCONVEXA LUMBOSACRA ( 4 ° ) CON LORDOSIS NORMAL Y CON ANGULO DE 34 °. LIGERO ESTRECHAMIENTO L5-S1. NO SE IDENTIFICAN FRACTURAS NI TUMORACIONES."/>
    <s v="TORAX RADIOLOGICAMENTE NORMAL, SIN EVIDENCIA DE PATOLOGÍA AGUDA O EVOLUTIVA APARENTE."/>
  </r>
  <r>
    <n v="168175"/>
    <s v="ENRIQUEZ FAJARDO VICENTE ANTONIO"/>
    <s v="MASCULINO"/>
    <x v="5"/>
    <x v="9"/>
    <x v="2"/>
    <x v="1"/>
    <x v="1"/>
    <x v="0"/>
    <s v="Audición Normal "/>
    <s v="Audición Normal"/>
    <x v="2"/>
    <x v="2"/>
    <s v="N/A"/>
    <x v="0"/>
    <s v="N/A"/>
    <x v="4"/>
    <x v="7"/>
    <x v="2"/>
    <s v="DESVIACION DEXTROCONVEXA LUMBOSACRA ( 4 ° ) CON HIPERLORDOSIS, INESTABILIDAD LUMBAR Y CON ANGULO DE 58 °. LIGERO PINZAMIENTO L5-S1. NO SE IDENTIFICAN FRACTURAS NI TUMORACIONES. BASCULACION PELVICA DERECHA DE 1.4 cm."/>
    <s v="N/A"/>
  </r>
  <r>
    <n v="168041"/>
    <s v="GARCIA PACHUCA LUIS FERNANDO"/>
    <s v="MASCULINO"/>
    <x v="2"/>
    <x v="2"/>
    <x v="1"/>
    <x v="0"/>
    <x v="0"/>
    <x v="0"/>
    <s v="Audición Normal "/>
    <s v="Audición Normal"/>
    <x v="2"/>
    <x v="0"/>
    <n v="0.85"/>
    <x v="0"/>
    <s v="Electrocardiograma en reposo sin datos de anormalidad al momento del estudio"/>
    <x v="0"/>
    <x v="1"/>
    <x v="0"/>
    <s v="DESVIACION DEXTROCONVEXA LUMBOSACRA ( 3 ° ) CON HIPERLORDOSIS Y CON ANGULO DE 40 °. PINZAMIENTO L-5-S1 NO SE IDENTIFICAN FRACTURAS NI TUMORACIONES."/>
    <s v="TORAX RADIOLOGICAMENTE NORMAL, SIN EVIDENCIA DE PATOLOGÍA AGUDA O EVOLUTIVA APARENTE."/>
  </r>
  <r>
    <n v="168016"/>
    <s v="GOMEZ LUCIO JOSE MANUEL"/>
    <s v="MASCULINO"/>
    <x v="0"/>
    <x v="11"/>
    <x v="1"/>
    <x v="0"/>
    <x v="0"/>
    <x v="1"/>
    <s v="Audición Normal, Datos de Fatiga Auditiva"/>
    <s v="Audición Normal, Datos de Fatiga Auditiva"/>
    <x v="10"/>
    <x v="0"/>
    <n v="0.87"/>
    <x v="1"/>
    <s v="Bradicardia sinusal, resto del estudio sin datos de anormalidad al momento del estudio "/>
    <x v="0"/>
    <x v="0"/>
    <x v="0"/>
    <s v="DESVIACION DEXTROCONVEXA LUMBOSACRA ( 3 ° ) CON LORDOSIS NORMAL Y CON ANGULO DE 36 °. NO SE IDENTIFICAN FRACTURAS NI TUMORACIONES."/>
    <s v="TORAX RADIOLOGICAMENTE NORMAL, SIN EVIDENCIA DE PATOLOGÍA AGUDA O EVOLUTIVA APARENTE."/>
  </r>
  <r>
    <n v="168098"/>
    <s v="GOMEZ MARTINEZ CARLOS"/>
    <s v="MASCULINO"/>
    <x v="0"/>
    <x v="9"/>
    <x v="1"/>
    <x v="0"/>
    <x v="0"/>
    <x v="1"/>
    <s v="Audición Normal "/>
    <s v="Audición Normal, Datos de Fatiga Auditiva"/>
    <x v="11"/>
    <x v="0"/>
    <n v="0.95"/>
    <x v="0"/>
    <s v="Electrocardiograma en reposo sin datos de anormalidad al momento del estudio"/>
    <x v="0"/>
    <x v="5"/>
    <x v="0"/>
    <s v="DESVIACION DEXTROCONVEXA LUMBOSACRA ( 3 ° ) CON HIPERLORDOSIS, INESTABILIDAD LUMBAR Y CON ANGULO DE 44 °. PINZAMIENTO L5-S1. NO SE IDENTIFICAN FRACTURAS NI TUMORACIONES."/>
    <s v="TORAX RADIOLOGICAMENTE NORMAL, SIN EVIDENCIA DE PATOLOGÍA AGUDA O EVOLUTIVA APARENTE."/>
  </r>
  <r>
    <n v="168040"/>
    <s v="GONZALEZ BARRERA VICTOR MANUEL"/>
    <s v="MASCULINO"/>
    <x v="2"/>
    <x v="4"/>
    <x v="1"/>
    <x v="0"/>
    <x v="0"/>
    <x v="1"/>
    <s v="Audición Normal "/>
    <s v="Audición Normal, Datos de Fatiga Auditiva"/>
    <x v="12"/>
    <x v="1"/>
    <n v="0.79"/>
    <x v="0"/>
    <s v="TAQUICARDIA SINUSAL, RESTO DEL ESTUDIO SIN DATOS DE ANORMALIDAD EL MOMENTO "/>
    <x v="4"/>
    <x v="5"/>
    <x v="0"/>
    <s v="DESVIACION LEVOCONVEXA LUMBOSACRA ( 4 ° ) CON HIPERLORDOSIS, INESTABILIDAD LUMBAR Y CON ANGULO DE 44 °. PINZAMIENTO L5-S1. NO SE IDENTIFICAN FRACTURAS NI TUMORACIONES."/>
    <s v="TORAX RADIOLOGICAMENTE NORMAL, SIN EVIDENCIA DE PATOLOGÍA AGUDA O EVOLUTIVA APARENTE."/>
  </r>
  <r>
    <n v="168014"/>
    <s v="GONZALEZ CASAS LUIS EDUARDO"/>
    <s v="MASCULINO"/>
    <x v="2"/>
    <x v="12"/>
    <x v="3"/>
    <x v="0"/>
    <x v="0"/>
    <x v="1"/>
    <s v="Audición Normal, Datos de Fatiga Auditiva"/>
    <s v="Audición Normal, Datos de Fatiga Auditiva"/>
    <x v="13"/>
    <x v="0"/>
    <n v="0.91"/>
    <x v="1"/>
    <s v="Electrocardiograma en reposo sin datos de anormalidad al momento del estudio"/>
    <x v="0"/>
    <x v="0"/>
    <x v="0"/>
    <s v="DESVIACION LEVOCONVEXA LUMBOSACRA ( 3 ° ) CON LORDOSIS NORMAL, Y CON ANGULO DE 36 °. BOSTEZO L5-S1. NO SE IDENTIFICAN FRACTURAS NI TUMORACIONES."/>
    <s v="N/A"/>
  </r>
  <r>
    <n v="168047"/>
    <s v="GONZALEZ GONDINEZ LUIS ESTEBAN"/>
    <s v="MASCULINO"/>
    <x v="4"/>
    <x v="13"/>
    <x v="2"/>
    <x v="1"/>
    <x v="1"/>
    <x v="0"/>
    <s v="Audición Normal "/>
    <s v="Audición Normal"/>
    <x v="14"/>
    <x v="2"/>
    <s v="N/A"/>
    <x v="0"/>
    <s v="N/A"/>
    <x v="4"/>
    <x v="2"/>
    <x v="0"/>
    <s v="DESVIACION LEVOCONVEXA LUMBOSACRA ( 4 ) CON LORDOSIS NORMAL Y CON ANGULO DE 30°. LIGERO PINZAMIENTO L5-S1. LUMBARIZACION DE S1, CON PINZAMIENTO S1-2 NO SE IDENTIFICAN FRACTURAS NI TUMORACIONES."/>
    <s v="N/A"/>
  </r>
  <r>
    <n v="168056"/>
    <s v="GONZALEZ RANGEL JOSE MAXIMILIANO"/>
    <s v="MASCULINO"/>
    <x v="0"/>
    <x v="1"/>
    <x v="1"/>
    <x v="0"/>
    <x v="0"/>
    <x v="0"/>
    <s v="Audición Normal "/>
    <s v="Audición Normal"/>
    <x v="15"/>
    <x v="1"/>
    <n v="0.71"/>
    <x v="0"/>
    <s v="Electrocardiograma en reposo sin datos de anormalidad al momento del estudio"/>
    <x v="2"/>
    <x v="6"/>
    <x v="0"/>
    <s v="DESVIACIÓN DEXTROCONVEXA LUMBOSACRA (2º),     (Angulo de Ferguson 34 º).    DISMINUCION DE L5-S1.NO SE IDENTIFICAN FRACTURAS NI LISTESIS."/>
    <s v="TÓRAX RADIOLÓGICAMENTE NORMAL, SIN PATOLOGÍA AGUDA APARENTE"/>
  </r>
  <r>
    <n v="168066"/>
    <s v="GONZALEZ TOMAS SILVESTRE"/>
    <s v="MASCULINO"/>
    <x v="4"/>
    <x v="3"/>
    <x v="1"/>
    <x v="0"/>
    <x v="0"/>
    <x v="2"/>
    <s v="Hipoacusia Neurosensorial, Leve , Sugestivo de Trauma Acústico crónico por ruido "/>
    <s v="Audición Normal"/>
    <x v="5"/>
    <x v="1"/>
    <n v="0.75"/>
    <x v="0"/>
    <s v="Bradicardia sinusal, resto del estudio sin datos de anormalidad al momento del estudio "/>
    <x v="1"/>
    <x v="3"/>
    <x v="1"/>
    <s v="DESVIACION DEXTROCONVEXA LUMBOSACRA ( 5 ° ) CON HIPERLORDOSIS, INESTABILIDAD LUMBAR, Y CON ANGULO DE 45 °. PINZAMIENTO L5-S1. NO SE IDENTIFICAN FRACTURAS NI TUMORACIONES. BASCULACION PELVICA DERECHA DE 1.0 cm."/>
    <s v="TORAX RADIOLOGICAMENTE NORMAL, SIN EVIDENCIA DE PATOLOGÍA AGUDA O EVOLUTIVA APARENTE."/>
  </r>
  <r>
    <n v="168093"/>
    <s v="GRIJALVA HERRERA BENJAMIN"/>
    <s v="MASCULINO"/>
    <x v="0"/>
    <x v="14"/>
    <x v="1"/>
    <x v="0"/>
    <x v="0"/>
    <x v="0"/>
    <s v="Audición Normal "/>
    <s v="Audición Normal"/>
    <x v="16"/>
    <x v="0"/>
    <n v="1"/>
    <x v="1"/>
    <s v="Bradicardia sinusal, resto del estudio sin datos de anormalidad al momento del estudio "/>
    <x v="0"/>
    <x v="8"/>
    <x v="0"/>
    <s v="DESVIACION DEXTROCONVEXA LUMBOSACRA ( 3 ° ) CON HIPERLORDOSIS Y CON ANGULO DE 42 °. PINZAMIENTO L5-S1. NO SE IDENTIFICAN FRACTURAS NI TUMORACIONES."/>
    <s v="TORAX RADIOLOGICAMENTE NORMAL, SIN EVIDENCIA DE PATOLOGÍA AGUDA O EVOLUTIVA APARENTE. PROBABLE GRANULOMA SUPERIOR IZQUIERDO."/>
  </r>
  <r>
    <n v="168019"/>
    <s v="GUZMAN SANABRIA CESAR"/>
    <s v="MASCULINO"/>
    <x v="0"/>
    <x v="15"/>
    <x v="1"/>
    <x v="0"/>
    <x v="0"/>
    <x v="1"/>
    <s v="Audición Normal "/>
    <s v="Audición Normal, Datos de Fatiga Auditiva"/>
    <x v="17"/>
    <x v="1"/>
    <n v="0.71"/>
    <x v="0"/>
    <s v="Electrocardiograma en reposo sin datos de anormalidad al momento del estudio"/>
    <x v="1"/>
    <x v="0"/>
    <x v="0"/>
    <s v="DESVIACION DEXTROCONVEXA LUMBOSACRA ( 5 ° ) CON LORDOSIS NORMAL, Y CON ANGULO DE 36 °. LIGERO PINZAMIENTO L5-S1. NO SE IDENTIFICAN FRACTURAS NI TUMORACIONES."/>
    <s v="TORAX RADIOLOGICAMENTE NORMAL, SIN EVIDENCIA DE PATOLOGÍA AGUDA O EVOLUTIVA APARENTE."/>
  </r>
  <r>
    <n v="168054"/>
    <s v="HERNANDEZ BARRERA MARIA GUADALUPE"/>
    <s v="FEMENINO"/>
    <x v="1"/>
    <x v="10"/>
    <x v="2"/>
    <x v="1"/>
    <x v="1"/>
    <x v="0"/>
    <s v="Audición Normal "/>
    <s v="Audición Normal"/>
    <x v="18"/>
    <x v="2"/>
    <s v="N/A"/>
    <x v="0"/>
    <s v="N/A"/>
    <x v="4"/>
    <x v="5"/>
    <x v="0"/>
    <s v="DESVIACION DEXTROCONVEXA LUMBOSACRA ( 4 ) CON HIPERLORDOSIS, INESTABILIDAD LUMBAR Y CON ANGULO DE 44°. NO SE IDENTIFICAN FRACTURAS NI TUMORACIONES."/>
    <s v="N/A"/>
  </r>
  <r>
    <n v="168015"/>
    <s v="HERNANDEZ DORANTES HUMBERTO"/>
    <s v="MASCULINO"/>
    <x v="6"/>
    <x v="4"/>
    <x v="1"/>
    <x v="0"/>
    <x v="0"/>
    <x v="0"/>
    <s v="Audición Normal "/>
    <s v="Audición Normal"/>
    <x v="19"/>
    <x v="0"/>
    <n v="0.95"/>
    <x v="0"/>
    <s v="Electrocardiograma en reposo sin datos de anormalidad al momento del estudio"/>
    <x v="0"/>
    <x v="9"/>
    <x v="0"/>
    <s v="DESVIACION LEVOCONVEXA LUMBOSACRA ( 3 ° ) CON HIPERLORDOSIS, INESTABILIDAD LUMBAR, Y CON ANGULO DE 52 °. PINZAMIENTO L5-S1. LUMBARIZACION DE S1 CON DISRAFIA Y DISPLASIA DE SU ARCO POSTERIOR NO SE IDENTIFICAN FRACTURAS NI TUMORACIONES."/>
    <s v="TORAX RADIOLOGICAMENTE NORMAL, SIN EVIDENCIA DE PATOLOGÍA AGUDA O EVOLUTIVA APARENTE."/>
  </r>
  <r>
    <n v="168139"/>
    <s v="HERNANDEZ HUERTA URIEL"/>
    <s v="MASCULINO"/>
    <x v="6"/>
    <x v="16"/>
    <x v="1"/>
    <x v="0"/>
    <x v="0"/>
    <x v="0"/>
    <s v="Audición Normal "/>
    <s v="Audición Normal"/>
    <x v="20"/>
    <x v="1"/>
    <n v="0.74"/>
    <x v="0"/>
    <s v="Electrocardiograma en reposo sin datos de anormalidad al momento del estudio"/>
    <x v="0"/>
    <x v="1"/>
    <x v="0"/>
    <s v="DESVIACION DEXTROCONVEXA LUMBOSACRA ( 3 ° ) CON HIPERLORDOSIS Y CON ANGULO DE 40 °. ESTRECHAMIENTO Y PINZAMIENTO L5-S1. NO SE IDENTIFICAN FRACTURAS NI TUMORACIONES."/>
    <s v="TORAX RADIOLOGICAMENTE NORMAL, SIN EVIDENCIA DE PATOLOGÍA AGUDA O EVOLUTIVA APARENTE."/>
  </r>
  <r>
    <n v="168050"/>
    <s v="HERNANDEZ PEREZ ANGEL ALBERTO"/>
    <s v="MASCULINO"/>
    <x v="2"/>
    <x v="7"/>
    <x v="1"/>
    <x v="0"/>
    <x v="0"/>
    <x v="2"/>
    <s v="Hipoacusia Neurosensorial, Leve , Sugestivo de Trauma Acústico crónico por ruido "/>
    <s v="Hipoacusia Neurosensorial, Profunda, De etiología a determinar"/>
    <x v="21"/>
    <x v="0"/>
    <n v="0.91"/>
    <x v="1"/>
    <s v="Electrocardiograma en reposo sin datos de anormalidad al momento del estudio"/>
    <x v="0"/>
    <x v="8"/>
    <x v="0"/>
    <s v="DESVIACION DEXTROCONVEXA LUMBOSACRA ( 3 ° ) CON HIPERLORDOSIS, Y CON ANGULO DE 42 °. BOSTEZO Y LIGERO PINZAMIENTO L5-S1. NO SE IDENTIFICAN FRACTURAS NI TUMORACIONES."/>
    <s v="TORAX RADIOLOGICAMENTE NORMAL, SIN EVIDENCIA DE PATOLOGÍA AGUDA O EVOLUTIVA APARENTE."/>
  </r>
  <r>
    <n v="168154"/>
    <s v="HERNANDEZ VILLANUEVA JOSE ROBERTO"/>
    <s v="MASCULINO"/>
    <x v="1"/>
    <x v="11"/>
    <x v="2"/>
    <x v="1"/>
    <x v="1"/>
    <x v="3"/>
    <s v="Hipoacusia Neurosensorial, Leve , Sugestivo a Presbiacusia "/>
    <s v="Audición Normal"/>
    <x v="4"/>
    <x v="2"/>
    <s v="N/A"/>
    <x v="0"/>
    <s v="N/A"/>
    <x v="4"/>
    <x v="0"/>
    <x v="0"/>
    <s v="DESVIACION DEXTROCONVEXA LUMBOSACRA ( 4 ° ) CON LORDOSIS NORMAL Y CON ANGULO DE 36 °. ESTRECHAMIENTO L5-S1. NO SE IDENTIFICAN FRACTURAS NI TUMORACIONES."/>
    <s v="N/A"/>
  </r>
  <r>
    <n v="168121"/>
    <s v="IBARRA FLORES JOSE MANUEL"/>
    <s v="MASCULINO"/>
    <x v="2"/>
    <x v="8"/>
    <x v="4"/>
    <x v="0"/>
    <x v="0"/>
    <x v="1"/>
    <s v="Audición Normal, Datos de Fatiga Auditiva"/>
    <s v="Audición Normal, Datos de Fatiga Auditiva"/>
    <x v="22"/>
    <x v="0"/>
    <n v="0.91"/>
    <x v="0"/>
    <s v="Bradicardia sinusal, resto del estudio sin datos de anormalidad al momento del estudio "/>
    <x v="0"/>
    <x v="2"/>
    <x v="0"/>
    <s v="DESVIACION DEXTROCONVEXA LUMBOSACRA ( 3 ° ) CON LORDOSIS NORMAL Y CON ANGULO DE 30 °. ESTRECHAMIENTO Y PINZAMIENTO L5-S1. NO SE IDENTIFICAN FRACTURAS NI TUMORACIONES."/>
    <s v="TORAX RADIOLOGICAMENTE NORMAL, SIN EVIDENCIA DE PATOLOGÍA AGUDA O EVOLUTIVA APARENTE."/>
  </r>
  <r>
    <n v="168099"/>
    <s v="IBARRA LARA JULIO CESAR"/>
    <s v="MASCULINO"/>
    <x v="2"/>
    <x v="17"/>
    <x v="1"/>
    <x v="0"/>
    <x v="0"/>
    <x v="0"/>
    <s v="Audición Normal "/>
    <s v="Audición Normal"/>
    <x v="4"/>
    <x v="0"/>
    <n v="0.93"/>
    <x v="0"/>
    <s v="Electrocardiograma en reposo sin datos de anormalidad al momento del estudio"/>
    <x v="4"/>
    <x v="3"/>
    <x v="0"/>
    <s v="DESVIACION DEXTROCONVEXA LUMBOSACRA ( 4 ° ) CON HIPERLORDOSIS Y CON ANGULO DE 45 °. PINZAMIENTO L5-S1. NO SE IDENTIFICAN FRACTURAS NI TUMORACIONES."/>
    <s v="TORAX RADIOLOGICAMENTE NORMAL, SIN EVIDENCIA DE PATOLOGÍA AGUDA O EVOLUTIVA APARENTE."/>
  </r>
  <r>
    <n v="168138"/>
    <s v="JIMENEZ GONZALEZ ROBERTO"/>
    <s v="MASCULINO"/>
    <x v="2"/>
    <x v="8"/>
    <x v="1"/>
    <x v="0"/>
    <x v="0"/>
    <x v="1"/>
    <s v="Audición Normal, Datos de Fatiga Auditiva"/>
    <s v="Audición Normal, Datos de Fatiga Auditiva"/>
    <x v="23"/>
    <x v="0"/>
    <n v="0.82"/>
    <x v="1"/>
    <s v="Electrocardiograma en reposo sin datos de anormalidad al momento del estudio"/>
    <x v="2"/>
    <x v="1"/>
    <x v="0"/>
    <s v="DESVIACION DEXTROCONVEXA LUMBOSACRA ( 2 ° ) CON HIPERLORDOSIS Y CON ANGULO DE 40 °. PINZAMIENTO L5-S1. NO SE IDENTIFICAN FRACTURAS NI TUMORACIONES."/>
    <s v="TORAX RADIOLOGICAMENTE NORMAL, SIN EVIDENCIA DE PATOLOGÍA AGUDA O EVOLUTIVA APARENTE."/>
  </r>
  <r>
    <n v="168150"/>
    <s v="JIMENEZ MEDINA RAMIRO"/>
    <s v="MASCULINO"/>
    <x v="0"/>
    <x v="8"/>
    <x v="1"/>
    <x v="0"/>
    <x v="0"/>
    <x v="1"/>
    <s v="Audición Normal, Datos de Fatiga Auditiva"/>
    <s v="Audición Normal, Datos de Fatiga Auditiva"/>
    <x v="24"/>
    <x v="0"/>
    <n v="0.99"/>
    <x v="0"/>
    <s v="Electrocardiograma en reposo sin datos de anormalidad al momento del estudio"/>
    <x v="4"/>
    <x v="1"/>
    <x v="0"/>
    <s v="DESVIACION LEVOCONVEXA LUMBOSACRA ( 4 ° ) CON HIPERLORDOSIS Y CON ANGULO DE 40 °. PINZAMIENTO L5-S1. NO SE IDENTIFICAN FRACTURAS NI TUMORACIONES."/>
    <s v="TORAX RADIOLOGICAMENTE NORMAL, SIN EVIDENCIA DE PATOLOGÍA AGUDA O EVOLUTIVA APARENTE."/>
  </r>
  <r>
    <n v="168152"/>
    <s v="LUNA RODRIGUEZ AARON"/>
    <s v="MASCULINO"/>
    <x v="0"/>
    <x v="7"/>
    <x v="1"/>
    <x v="0"/>
    <x v="0"/>
    <x v="2"/>
    <s v="Audición Normal "/>
    <s v="Hipoacusia Neurosensorial, Leve, Sugestivo de Trauma Acústico crónico por ruido"/>
    <x v="25"/>
    <x v="1"/>
    <n v="0.71"/>
    <x v="0"/>
    <s v="Bradicardia sinusal, resto del estudio sin datos de anormalidad al momento del estudio "/>
    <x v="5"/>
    <x v="10"/>
    <x v="3"/>
    <s v="DESVIACION DEXTROCONVEXA LUMBOSACRA ( 7 ° ) CON LORDOSIS NORMAL Y CON ANGULO DE 38 °. ESTRECHAMIENTO L5-S1 Y OSTEOFITOSIS. NO SE IDENTIFICAN FRACTURAS NI TUMORACIONES. BASCULACION PELVICA DERECHA DE 2.0 cm"/>
    <s v="TORAX RADIOLOGICAMENTE NORMAL, SIN EVIDENCIA DE PATOLOGÍA AGUDA O EVOLUTIVA APARENTE."/>
  </r>
  <r>
    <n v="168045"/>
    <s v="MARTINEZ GARCIA LUIS ANGEL"/>
    <s v="MASCULINO"/>
    <x v="3"/>
    <x v="18"/>
    <x v="4"/>
    <x v="0"/>
    <x v="0"/>
    <x v="1"/>
    <s v="Audición Normal, Datos de Fatiga Auditiva"/>
    <s v="Audición Normal"/>
    <x v="23"/>
    <x v="0"/>
    <n v="0.95"/>
    <x v="0"/>
    <s v="Electrocardiograma en reposo sin datos de anormalidad al momento del estudio"/>
    <x v="4"/>
    <x v="6"/>
    <x v="0"/>
    <s v="DESVIACION LEVOCONVEXA LUMBOSACRA ( 4 ° ) CON LORDOSIS NORMAL, Y CON ANGULO DE 34 °. LIGERO PINZAMIENTO L5-S1. NO SE IDENTIFICAN FRACTURAS NI TUMORACIONES."/>
    <s v="TORAX RADIOLOGICAMENTE NORMAL, SIN EVIDENCIA DE PATOLOGÍA AGUDA O EVOLUTIVA APARENTE."/>
  </r>
  <r>
    <n v="168116"/>
    <s v="MARTINEZ PEREZ ANTONIO"/>
    <s v="MASCULINO"/>
    <x v="2"/>
    <x v="19"/>
    <x v="0"/>
    <x v="0"/>
    <x v="2"/>
    <x v="0"/>
    <s v="Audición Normal "/>
    <s v="Audición Normal"/>
    <x v="6"/>
    <x v="1"/>
    <n v="0.7"/>
    <x v="0"/>
    <s v="Electrocardiograma en reposo sin datos de anormalidad al momento del estudio"/>
    <x v="1"/>
    <x v="1"/>
    <x v="1"/>
    <s v="DESVIACION LEVOCONVEXA LUMBOSACRA ( 5 ° ) CON HIPERLORDOSIS Y CON ANGULO DE 40 °. PINZAMIENTO L5-S1 Y OSTEOFITOSIS. NO SE IDENTIFICAN FRACTURAS NI TUMORACIONES. BASCULACION PELVICA IZQUIERDA DE 1.0 cm"/>
    <s v="TORAX RADIOLOGICAMENTE NORMAL, SIN EVIDENCIA DE PATOLOGÍA AGUDA O EVOLUTIVA APARENTE."/>
  </r>
  <r>
    <n v="168137"/>
    <s v="MEDINA RODRIGUEZ MARTIN"/>
    <s v="MASCULINO"/>
    <x v="2"/>
    <x v="7"/>
    <x v="0"/>
    <x v="0"/>
    <x v="0"/>
    <x v="0"/>
    <s v="Audición Normal "/>
    <s v="Audición Normal"/>
    <x v="22"/>
    <x v="0"/>
    <n v="0.92"/>
    <x v="1"/>
    <s v="Electrocardiograma en reposo sin datos de anormalidad al momento del estudio"/>
    <x v="0"/>
    <x v="8"/>
    <x v="0"/>
    <s v="DESVIACION DEXTROCONVEXA LUMBOSACRA ( 3 ° ) CON HIPERLORDOSIS Y CON ANGULO DE 42 °. ESTRECHAMIENTO Y PINZAMIENTO L5-S1. NO SE IDENTIFICAN FRACTURAS NI TUMORACIONES."/>
    <s v="TORAX RADIOLOGICAMENTE NORMAL, SIN EVIDENCIA DE PATOLOGÍA AGUDA O EVOLUTIVA APARENTE."/>
  </r>
  <r>
    <n v="168051"/>
    <s v="MEJIA HERNANDEZ JESUS DANIEL"/>
    <s v="MASCULINO"/>
    <x v="2"/>
    <x v="7"/>
    <x v="3"/>
    <x v="0"/>
    <x v="0"/>
    <x v="0"/>
    <s v="Audición Normal "/>
    <s v="Audición Normal"/>
    <x v="26"/>
    <x v="0"/>
    <n v="1.04"/>
    <x v="1"/>
    <s v="Electrocardiograma en reposo sin datos de anormalidad al momento del estudio"/>
    <x v="4"/>
    <x v="1"/>
    <x v="0"/>
    <s v="DESVIACION DEXTROCONVEXA LUMBOSACRA ( 4 ° ) CON HIPERLORDOSIS, Y CON ANGULO DE 40 °. LIGERO PINZAMIENTO L5-S1. NO SE IDENTIFICAN FRACTURAS NI TUMORACIONES."/>
    <s v="TORAX RADIOLOGICAMENTE NORMAL, SIN EVIDENCIA DE PATOLOGÍA AGUDA O EVOLUTIVA APARENTE."/>
  </r>
  <r>
    <n v="168134"/>
    <s v="MERINO ENRIQUEZ ROBERTO EBER"/>
    <s v="MASCULINO"/>
    <x v="3"/>
    <x v="2"/>
    <x v="1"/>
    <x v="0"/>
    <x v="0"/>
    <x v="2"/>
    <s v="Audición Normal, Datos de Fatiga Auditiva"/>
    <s v="Hipoacusia Neurosensorial, Leve, Sugestivo de Trauma Acústico crónico por ruido"/>
    <x v="27"/>
    <x v="0"/>
    <n v="0.84"/>
    <x v="1"/>
    <s v="Electrocardiograma en reposo sin datos de anormalidad al momento del estudio"/>
    <x v="1"/>
    <x v="10"/>
    <x v="0"/>
    <s v="DESVIACION DEXTROCONVEXA LUMBOSACRA ( 5 ° ) CON LORDOSIS NORMAL Y CON ANGULO DE 38 °. PINZAMIENTO L5-S1. NO SE IDENTIFICAN FRACTURAS NI TUMORACIONES."/>
    <s v="TORAX RADIOLOGICAMENTE NORMAL, SIN EVIDENCIA DE PATOLOGÍA AGUDA O EVOLUTIVA APARENTE."/>
  </r>
  <r>
    <n v="168024"/>
    <s v="MIRANDA CUEVAS HUGO"/>
    <s v="MASCULINO"/>
    <x v="0"/>
    <x v="3"/>
    <x v="1"/>
    <x v="0"/>
    <x v="0"/>
    <x v="4"/>
    <s v="Hipoacusia Neurosensorial, Moderada , Sugestivo de Trauma Acústico crónico por ruido "/>
    <s v="Audición Normal, Datos de Fatiga Auditiva"/>
    <x v="22"/>
    <x v="0"/>
    <n v="0.81"/>
    <x v="0"/>
    <s v="Electrocardiograma en reposo sin datos de anormalidad al momento del estudio"/>
    <x v="4"/>
    <x v="0"/>
    <x v="0"/>
    <s v="DESVIACION DEXTROCONVEXA LUMBOSACRA ( 4 ° ) CON LORDOSIS NORMAL Y CON ANGULO DE 36 °. PINZAMIENTO L4-5-S1. NO SE IDENTIFICAN FRACTURAS NI TUMORACIONES."/>
    <s v="TORAX RADIOLOGICAMENTE NORMAL, SIN EVIDENCIA DE PATOLOGÍA AGUDA O EVOLUTIVA APARENTE."/>
  </r>
  <r>
    <n v="168044"/>
    <s v="MORENO RESENDIZ MARCELO"/>
    <s v="MASCULINO"/>
    <x v="0"/>
    <x v="3"/>
    <x v="1"/>
    <x v="0"/>
    <x v="0"/>
    <x v="1"/>
    <s v="Audición Normal, Datos de Fatiga Auditiva"/>
    <s v="Audición Normal, Datos de Fatiga Auditiva"/>
    <x v="28"/>
    <x v="1"/>
    <n v="0.76"/>
    <x v="1"/>
    <s v="Electrocardiograma en reposo sin datos de anormalidad al momento del estudio"/>
    <x v="4"/>
    <x v="10"/>
    <x v="3"/>
    <s v="DESVIACION DEXTROCONVEXA LUMBOSACRA ( 4 ° ) CON LORDOSIS NORMAL Y CON ANGULO DE 38 °. NO SE IDENTIFICAN FRACTURAS NI TUMORACIONES. BASCULACION PELVICA DERECHA DE 2.0 cm."/>
    <s v="TORAX RADIOLOGICAMENTE NORMAL, SIN EVIDENCIA DE PATOLOGÍA AGUDA O EVOLUTIVA APARENTE."/>
  </r>
  <r>
    <n v="168013"/>
    <s v="NIEVES TREJO ADRIAN"/>
    <s v="MASCULINO"/>
    <x v="0"/>
    <x v="8"/>
    <x v="0"/>
    <x v="0"/>
    <x v="0"/>
    <x v="2"/>
    <s v="Hipoacusia Neurosensorial, Leve , Sugestivo de Trauma Acústico crónico por ruido "/>
    <s v="Audición Normal"/>
    <x v="29"/>
    <x v="0"/>
    <n v="1"/>
    <x v="1"/>
    <s v="Bradicardia sinusal, resto del estudio sin datos de anormalidad al momento del estudio "/>
    <x v="0"/>
    <x v="3"/>
    <x v="0"/>
    <s v="DESVIACION LEVOCONVEXA LUMBOSACRA (3 ° ) CON HIPERLORDOSIS, INESTABILIDAD LUMBAR Y CON ANGULO DE 45 °. BOSTEZO Y PINZAMIENTO L5-S1 NO SE IDENTIFICAN FRACTURAS NI TUMORACIONES."/>
    <s v="TORAX RADIOLOGICAMENTE NORMAL, SIN EVIDENCIA DE PATOLOGÍA AGUDA O EVOLUTIVA APARENTE."/>
  </r>
  <r>
    <n v="168012"/>
    <s v="OLVERA NIETO RODOLFO"/>
    <s v="MASCULINO"/>
    <x v="0"/>
    <x v="20"/>
    <x v="0"/>
    <x v="0"/>
    <x v="0"/>
    <x v="1"/>
    <s v="Audición Normal "/>
    <s v="Audición Normal, Datos de Fatiga Auditiva"/>
    <x v="30"/>
    <x v="0"/>
    <n v="0.94"/>
    <x v="0"/>
    <s v="Electrocardiograma en reposo sin datos de anormalidad al momento del estudio"/>
    <x v="4"/>
    <x v="11"/>
    <x v="0"/>
    <s v="DESVIACION DEXTROCONVEXA LUMBOSACRA ( 4 ° ) CON HIPERLORDOSIS, INESTABILIDAD LUMBAR Y CON ANGULO DE 48°. PINZAMIENTO L5-S1 NO SE IDENTIFICAN FRACTURAS NI TUMORACIONES."/>
    <s v="TORAX RADIOLOGICAMENTE NORMAL, SIN EVIDENCIA DE PATOLOGÍA AGUDA O EVOLUTIVA APARENTE."/>
  </r>
  <r>
    <n v="168065"/>
    <s v="PAREDES TLANEPLANTA PASCUAL"/>
    <s v="MASCULINO"/>
    <x v="4"/>
    <x v="8"/>
    <x v="0"/>
    <x v="0"/>
    <x v="0"/>
    <x v="1"/>
    <s v="Audición Normal, Datos de Fatiga Auditiva"/>
    <s v="Audición Normal, Datos de Fatiga Auditiva"/>
    <x v="31"/>
    <x v="0"/>
    <n v="0.93"/>
    <x v="0"/>
    <s v="Electrocardiograma en reposo sin datos de anormalidad al momento del estudio"/>
    <x v="0"/>
    <x v="6"/>
    <x v="0"/>
    <s v="DESVIACION DEXTROCONVEXA LUMBOSACRA ( 3° ) CON LORDOSIS NORMAL Y CON ANGULO DE 34°. PINZAMIENTO L5-S1. LUMBARIZACION DE S1. NO SE IDENTIFICAN FRACTURAS NI TUMORACIONES."/>
    <s v="TORAX RADIOLOGICAMENTE NORMAL, SIN EVIDENCIA DE PATOLOGÍA AGUDA O EVOLUTIVA APARENTE."/>
  </r>
  <r>
    <n v="168142"/>
    <s v="PEÑA SOTO JUAN CARLOS"/>
    <s v="MASCULINO"/>
    <x v="1"/>
    <x v="21"/>
    <x v="1"/>
    <x v="0"/>
    <x v="3"/>
    <x v="0"/>
    <s v="Audición Normal "/>
    <s v="Audición Normal"/>
    <x v="32"/>
    <x v="0"/>
    <n v="0.9"/>
    <x v="0"/>
    <s v="Electrocardiograma en reposo sin datos de anormalidad al momento del estudio"/>
    <x v="3"/>
    <x v="5"/>
    <x v="2"/>
    <s v="DESVIACION DEXTROCONVEXA LUMBOSACRA ( 6 ° ) CON HIPERLORDOSIS, INESTABILIDAD LUMBAR Y CON ANGULO DE 44 °. LIGERO PINZAMIENTO L5-S1. ANTEROLISTESIS DE L5 GRADO I. NO SE IDENTIFICAN FRACTURAS NI TUMORACIONES. BASCULACION PELVICA DERECHA DE 1.4 cm."/>
    <s v="TORAX RADIOLOGICAMENTE NORMAL, SIN EVIDENCIA DE PATOLOGÍA AGUDA O EVOLUTIVA APARENTE."/>
  </r>
  <r>
    <n v="168042"/>
    <s v="PEREZ GARGIA LUIS ANGEL"/>
    <s v="MASCULINO"/>
    <x v="2"/>
    <x v="22"/>
    <x v="1"/>
    <x v="0"/>
    <x v="0"/>
    <x v="1"/>
    <s v="Audición Normal "/>
    <s v="Audición Normal, Datos de Fatiga Auditiva"/>
    <x v="33"/>
    <x v="0"/>
    <n v="0.92"/>
    <x v="0"/>
    <s v="Electrocardiograma en reposo sin datos de anormalidad al momento del estudio"/>
    <x v="0"/>
    <x v="12"/>
    <x v="0"/>
    <s v="DESVIACION LEVOCONVEXA LUMBOSACRA ( 3° ) CON LORDOSIS NORMAL Y CON ANGULO DE 32°. LIGERO PINZAMIENTO L5-S1. NO SE IDENTIFICAN FRACTURAS NI TUMORACIONES."/>
    <s v="TORAX RADIOLOGICAMENTE NORMAL, SIN EVIDENCIA DE PATOLOGÍA AGUDA O EVOLUTIVA APARENTE."/>
  </r>
  <r>
    <n v="168052"/>
    <s v="PEREZ NIEVES JUAN ANTONIO"/>
    <s v="MASCULINO"/>
    <x v="2"/>
    <x v="23"/>
    <x v="1"/>
    <x v="0"/>
    <x v="0"/>
    <x v="1"/>
    <s v="Audición Normal, Datos de Fatiga Auditiva"/>
    <s v="Audición Normal"/>
    <x v="29"/>
    <x v="0"/>
    <n v="0.98"/>
    <x v="1"/>
    <s v="Electrocardiograma en reposo sin datos de anormalidad al momento del estudio"/>
    <x v="1"/>
    <x v="12"/>
    <x v="2"/>
    <s v="DESVIACION LEVOCONVEXA LUMBOSACRA ( 5° ) CON LORDOSIS NORMAL Y CON ANGULO DE 32°. ESRECHAMIENTO L5-S1. OSTEOFITOSIS MARGIAL L1-2-3 NO SE IDENTIFICAN FRACTURAS NI TUMORACIONES. BASCULACION PELVICA DERECHA DE 1.4 cm."/>
    <s v="TORAX RADIOLOGICAMENTE NORMAL, SIN EVIDENCIA DE PATOLOGÍA AGUDA O EVOLUTIVA APARENTE."/>
  </r>
  <r>
    <n v="168176"/>
    <s v="QUINTANAR SANTOS JOSE EDUARDO"/>
    <s v="MASCULINO"/>
    <x v="4"/>
    <x v="24"/>
    <x v="1"/>
    <x v="0"/>
    <x v="0"/>
    <x v="2"/>
    <s v="Hipoacusia Neurosensorial, Leve , Sugestivo de Trauma Acústico crónico por ruido "/>
    <s v="Hipoacusia Neurosensorial, Leve, Sugestivo de Trauma Acústico crónico por ruido"/>
    <x v="34"/>
    <x v="0"/>
    <n v="0.9"/>
    <x v="0"/>
    <s v="Electrocardiograma en reposo sin datos de anormalidad al momento del estudio"/>
    <x v="1"/>
    <x v="2"/>
    <x v="0"/>
    <s v="DESVIACION DEXTROCONVEXA LUMBOSACRA ( 5° ) CON LORDOSIS NORMAL Y CON ANGULO DE 30°. BOSTEZO Y PINZAMIENTO L5-S1. ACUÑAMIENTO DE L2 NO SE IDENTIFICAN FRACTURAS NI TUMORACIONES."/>
    <s v="TORAX RADIOLOGICAMENTE NORMAL, SIN EVIDENCIA DE PATOLOGÍA AGUDA O EVOLUTIVA APARENTE."/>
  </r>
  <r>
    <n v="168068"/>
    <s v="RAMIREZ DE SANTIAGO IVAN ALEJANDRO"/>
    <s v="MASCULINO"/>
    <x v="4"/>
    <x v="25"/>
    <x v="0"/>
    <x v="0"/>
    <x v="0"/>
    <x v="0"/>
    <s v="Audición Normal "/>
    <s v="Audición Normal"/>
    <x v="27"/>
    <x v="0"/>
    <n v="0.82"/>
    <x v="0"/>
    <s v="Electrocardiograma en reposo sin datos de anormalidad al momento del estudio"/>
    <x v="1"/>
    <x v="2"/>
    <x v="0"/>
    <s v="DESVIACION LEVOCONVEXA LUMBOSACRA ( 5° ) CON LORDOSIS NORMAL Y CON ANGULO DE 30°. PINZAMIENTO L5-S1. NO SE IDENTIFICAN FRACTURAS NI TUMORACIONES."/>
    <s v="TORAX RADIOLOGICAMENTE NORMAL, SIN EVIDENCIA DE PATOLOGÍA AGUDA O EVOLUTIVA APARENTE."/>
  </r>
  <r>
    <n v="168020"/>
    <s v="RAMIREZ PEREZ ELISABET"/>
    <s v="FEMENINO"/>
    <x v="7"/>
    <x v="26"/>
    <x v="1"/>
    <x v="0"/>
    <x v="0"/>
    <x v="0"/>
    <s v="Audición Normal "/>
    <s v="Audición Normal"/>
    <x v="30"/>
    <x v="1"/>
    <n v="0.7"/>
    <x v="0"/>
    <s v="Bradicardia sinusal, resto del estudio sin datos de anormalidad al momento del estudio "/>
    <x v="1"/>
    <x v="11"/>
    <x v="0"/>
    <s v="DESVIACION LEVOCONVEXA LUMBOSACRA ( 5° ) CON HIPERLORDOSIS, INESTABILIDAD LUMBAR Y CON ANGULO DE 48°. NO SE IDENTIFICAN FRACTURAS NI TUMORACIONES."/>
    <s v="TORAX RADIOLOGICAMENTE NORMAL, SIN EVIDENCIA DE PATOLOGÍA AGUDA O EVOLUTIVA APARENTE."/>
  </r>
  <r>
    <n v="168096"/>
    <s v="RAMOS RAMIREZ OSCAR FRANCISCO"/>
    <s v="MASCULINO"/>
    <x v="2"/>
    <x v="7"/>
    <x v="0"/>
    <x v="0"/>
    <x v="0"/>
    <x v="0"/>
    <s v="Audición Normal "/>
    <s v="Audición Normal"/>
    <x v="35"/>
    <x v="0"/>
    <n v="0.95"/>
    <x v="0"/>
    <s v="Electrocardiograma en reposo sin datos de anormalidad al momento del estudio"/>
    <x v="4"/>
    <x v="13"/>
    <x v="0"/>
    <s v="DESVIACION LEVOCONVEXA LUMBOSACRA ( 4° ) CON LORDOSIS RECTIFICADA Y CON ANGULO DE 26°. ESTRECHAMIENTO L5-S1. NO SE IDENTIFICAN FRACTURAS NI TUMORACIONES."/>
    <s v="TORAX RADIOLOGICAMENTE NORMAL, SIN EVIDENCIA DE PATOLOGÍA AGUDA O EVOLUTIVA APARENTE. PROBABLE GRANULOMA DERECHO."/>
  </r>
  <r>
    <n v="168153"/>
    <s v="REYES CAMPOS VICTOR"/>
    <s v="MASCULINO"/>
    <x v="2"/>
    <x v="7"/>
    <x v="0"/>
    <x v="0"/>
    <x v="0"/>
    <x v="1"/>
    <s v="Audición Normal, Datos de Fatiga Auditiva"/>
    <s v="Audición Normal, Datos de Fatiga Auditiva"/>
    <x v="33"/>
    <x v="0"/>
    <n v="0.91"/>
    <x v="1"/>
    <s v="Bradicardia sinusal, resto del estudio sin datos de anormalidad al momento del estudio "/>
    <x v="1"/>
    <x v="5"/>
    <x v="0"/>
    <s v="DESVIACION LEVOCONVEXA LUMBOSACRA ( 5° ) CON HIPERLORDOSIS, INESTABILIDAD LUMBAR Y CON ANGULO DE 44°. ESTRECHAMIENTO L5-S1. NO SE IDENTIFICAN FRACTURAS NI TUMORACIONES."/>
    <s v="TORAX RADIOLOGICAMENTE NORMAL, SIN EVIDENCIA DE PATOLOGÍA AGUDA O EVOLUTIVA APARENTE."/>
  </r>
  <r>
    <n v="168157"/>
    <s v="RODRIGUEZ POLO JOEL"/>
    <s v="MASCULINO"/>
    <x v="8"/>
    <x v="12"/>
    <x v="1"/>
    <x v="0"/>
    <x v="0"/>
    <x v="0"/>
    <s v="Audición Normal "/>
    <s v="Audición Normal"/>
    <x v="5"/>
    <x v="0"/>
    <n v="0.83"/>
    <x v="1"/>
    <s v="Electrocardiograma en reposo sin datos de anormalidad al momento del estudio"/>
    <x v="4"/>
    <x v="14"/>
    <x v="0"/>
    <s v="DESVIACION DEXTROCONVEXA LUMBOSACRA ( 4° ) CON LORDOSIS NORMAL Y CON ANGULO DE 28°. PINZAMIENTO L5-S1. NO SE IDENTIFICAN FRACTURAS NI TUMORACIONES."/>
    <s v="TORAX RADIOLOGICAMENTE NORMAL, SIN EVIDENCIA DE PATOLOGÍA AGUDA O EVOLUTIVA APARENTE."/>
  </r>
  <r>
    <n v="168057"/>
    <s v="RODRIGUEZ RAMIREZ VICTOR MANUEL"/>
    <s v="MASCULINO"/>
    <x v="1"/>
    <x v="10"/>
    <x v="0"/>
    <x v="0"/>
    <x v="0"/>
    <x v="2"/>
    <s v="Audición Normal, Datos de Fatiga Auditiva"/>
    <s v="Hipoacusia Neurosensorial, Leve, Sugestivo de Trauma Acústico crónico por ruido"/>
    <x v="17"/>
    <x v="2"/>
    <s v="N/A"/>
    <x v="0"/>
    <s v="N/A"/>
    <x v="2"/>
    <x v="11"/>
    <x v="0"/>
    <s v="DESVIACIÓN DEXTROCONVEXA LUMBOSACRA (2º),  CON  HIPERLORDOSIS   (Angulo de Ferguson   48 º).    BOSTEZO ANTERIOR DE L5S1. NO SE IDENTIFICAN FRACTURAS NI LISTESIS. "/>
    <s v="N/A"/>
  </r>
  <r>
    <n v="168180"/>
    <s v="SERVIN ARREOLA JOSE FRANCISCO"/>
    <s v="MASCULINO"/>
    <x v="4"/>
    <x v="7"/>
    <x v="1"/>
    <x v="0"/>
    <x v="0"/>
    <x v="1"/>
    <s v="Audición Normal, Datos de Fatiga Auditiva"/>
    <s v="Audición Normal, Datos de Fatiga Auditiva"/>
    <x v="4"/>
    <x v="0"/>
    <n v="0.83"/>
    <x v="1"/>
    <s v="Electrocardiograma en reposo sin datos de anormalidad al momento del estudio"/>
    <x v="1"/>
    <x v="1"/>
    <x v="0"/>
    <s v="DESVIACION DEXTROCONVEXA LUMBOSACRA ( 5° ) CON HIPERLORDOSIS Y CON ANGULO DE 40°. PINZAMIENTO L5-S1. NO SE IDENTIFICAN FRACTURAS NI TUMORACIONES."/>
    <s v="TORAX RADIOLOGICAMENTE NORMAL, SIN EVIDENCIA DE PATOLOGÍA AGUDA O EVOLUTIVA APARENTE. PROBABLE PIERCING BASAL DERECHO."/>
  </r>
  <r>
    <n v="168177"/>
    <s v="TELLO RAMIREZ BERTHA ALICIA"/>
    <s v="FEMENINO"/>
    <x v="5"/>
    <x v="25"/>
    <x v="2"/>
    <x v="1"/>
    <x v="1"/>
    <x v="1"/>
    <s v="Audición Normal, Datos de Fatiga Auditiva"/>
    <s v="Audición Normal, Datos de Fatiga Auditiva"/>
    <x v="33"/>
    <x v="2"/>
    <s v="N/A"/>
    <x v="0"/>
    <s v="N/A"/>
    <x v="6"/>
    <x v="12"/>
    <x v="1"/>
    <s v="DESVIACION DEXTROCONVEXA LUMBOSACRA ( 9° ) CON LORDOSIS NORMAL Y CON ANGULO DE 32°. LIGERO PINZAMIENTO L5-S1. NO SE IDENTIFICAN FRACTURAS NI TUMORACIONES. BASCULACION PELVICA DERECHA DE 1.0 cm."/>
    <s v="N/A"/>
  </r>
  <r>
    <n v="168114"/>
    <s v="TELLO RAMIREZ OSCAR WENSESLAO"/>
    <s v="MASCULINO"/>
    <x v="5"/>
    <x v="27"/>
    <x v="2"/>
    <x v="1"/>
    <x v="1"/>
    <x v="2"/>
    <s v="Audición Normal "/>
    <s v="Hipoacusia Neurosensorial, Leve, Sugestivo de Trauma Acústico crónico por ruido"/>
    <x v="36"/>
    <x v="2"/>
    <s v="N/A"/>
    <x v="0"/>
    <s v="N/A"/>
    <x v="4"/>
    <x v="3"/>
    <x v="0"/>
    <s v="DESVIACION DEXTROCONVEXA LUMBOSACRA ( 4° ) CON HIPERLORDOSIS, INESTABILIDAD LUMBAR Y CON ANGULO DE 45°. PINZAMIENTO L4-5. SACRALIZACION DE L5 CON MEGAAPOFISIS IZQ. FUSIONADA Y ESPACIO RUDIMENTARIO L5-S1. HIPOPLASIA DE ULTIMAS COSTILLAS. NO SE IDENTIFICAN FRACTURAS NI TUMORACIONES."/>
    <s v="N/A"/>
  </r>
  <r>
    <n v="168038"/>
    <s v="TOLEDO CHAVEZ ALEJANDRO DAVID"/>
    <s v="MASCULINO"/>
    <x v="0"/>
    <x v="6"/>
    <x v="2"/>
    <x v="1"/>
    <x v="1"/>
    <x v="0"/>
    <s v="Audición Normal "/>
    <s v="Audición Normal"/>
    <x v="37"/>
    <x v="1"/>
    <n v="0.78"/>
    <x v="1"/>
    <s v="Bradicardia sinusal, resto del estudio sin datos de anormalidad al momento del estudio "/>
    <x v="0"/>
    <x v="1"/>
    <x v="0"/>
    <s v="DESVIACION LEVOCONVEXA LUMBOSACRA ( 3° ) CON HIPERLORDOSIS, INESTABILIDAD LUMBAR Y CON ANGULO DE 40°. LIGERO ESTRECHAMIENTO L5-S1 / NO SE IDENTIFICAN FRACTURAS NI TUMORACIONES."/>
    <s v="TORAX RADIOLOGICAMENTE NORMAL, SIN EVIDENCIA DE PATOLOGÍA AGUDA O EVOLUTIVA APARENTE. / PROBABLES GRANULOMAS DERECHOS."/>
  </r>
  <r>
    <n v="168026"/>
    <s v="TREJO DON HECTOR MIGUEL"/>
    <s v="MASCULINO"/>
    <x v="2"/>
    <x v="28"/>
    <x v="1"/>
    <x v="0"/>
    <x v="0"/>
    <x v="1"/>
    <s v="Audición Normal, Datos de Fatiga Auditiva"/>
    <s v="Audición Normal, Datos de Fatiga Auditiva"/>
    <x v="26"/>
    <x v="0"/>
    <n v="0.87"/>
    <x v="0"/>
    <s v="Bradicardia sinusal, resto del estudio sin datos de anormalidad al momento del estudio "/>
    <x v="0"/>
    <x v="2"/>
    <x v="0"/>
    <s v="DESVIACION LEVOCONVEXA LUMBOSACRA ( 3° ) CON LORDOSIS NORMAL Y CON ANGULO DE 30°. PINZAMIENTO L5-S1 / NO SE IDENTIFICAN FRACTURAS NI TUMORACIONES."/>
    <s v="TORAX RADIOLOGICAMENTE NORMAL, SIN EVIDENCIA DE PATOLOGÍA AGUDA O EVOLUTIVA APARENTE. / PROBABLE GRANULOMA DERECHO."/>
  </r>
  <r>
    <n v="168067"/>
    <s v="TREJO LOPEZ JOSE GUADALUPE"/>
    <s v="MASCULINO"/>
    <x v="4"/>
    <x v="12"/>
    <x v="1"/>
    <x v="0"/>
    <x v="0"/>
    <x v="0"/>
    <s v="Audición Normal "/>
    <s v="Audición Normal"/>
    <x v="3"/>
    <x v="0"/>
    <n v="0.88"/>
    <x v="0"/>
    <s v="Electrocardiograma en reposo sin datos de anormalidad al momento del estudio"/>
    <x v="3"/>
    <x v="11"/>
    <x v="4"/>
    <s v="DESVIACION DEXTROCONVEXA LUMBOSACRA ( 6° ) CON HIPERLORDOSIS, INESTABILIDD LUMBAR Y CON ANGULO DE 48°. PINZAMIENTO L5-S1 / NO SE IDENTIFICAN FRACTURAS NI TUMORACIONES. / BASCULACION PELVICA DERECHA DE 1.8 cm."/>
    <s v="TORAX RADIOLOGICAMENTE NORMAL, SIN EVIDENCIA DE PATOLOGÍA AGUDA O EVOLUTIVA APARENTE."/>
  </r>
  <r>
    <n v="168130"/>
    <s v="TREJO TREJO GUSTAVO CRUZ"/>
    <s v="MASCULINO"/>
    <x v="0"/>
    <x v="6"/>
    <x v="1"/>
    <x v="0"/>
    <x v="0"/>
    <x v="4"/>
    <s v="Hipoacusia Neurosensorial, Leve , Sugestivo de Trauma Acústico crónico por ruido "/>
    <s v="Hipoacusia Neurosensorial, Moderada, Sugestivo de Trauma Acústico crónico por ruido"/>
    <x v="38"/>
    <x v="1"/>
    <n v="0.79"/>
    <x v="0"/>
    <s v="Electrocardiograma en reposo sin datos de anormalidad al momento del estudio"/>
    <x v="4"/>
    <x v="15"/>
    <x v="0"/>
    <s v="DESVIACION DEXTROCONVEXA LUMBOSACRA ( 4° ) CON HIPERLORDOSIS, INESTABILIDAD LUMBAR Y CON ANGULO DE 50°. PINZAMIENTO L4-5-S1. / NO SE IDENTIFICAN FRACTURAS NI TUMORACIONES."/>
    <s v="TORAX RADIOLOGICAMENTE NORMAL, SIN EVIDENCIA DE PATOLOGÍA AGUDA O EVOLUTIVA APARENTE."/>
  </r>
  <r>
    <n v="168103"/>
    <s v="VEGA RUIZ HECTOR MIGUEL"/>
    <s v="MASCULINO"/>
    <x v="2"/>
    <x v="7"/>
    <x v="0"/>
    <x v="0"/>
    <x v="0"/>
    <x v="0"/>
    <s v="Audición Normal "/>
    <s v="Audición Normal"/>
    <x v="39"/>
    <x v="0"/>
    <n v="1.01"/>
    <x v="0"/>
    <s v="Bradicardia sinusal, resto del estudio sin datos de anormalidad al momento del estudio "/>
    <x v="2"/>
    <x v="1"/>
    <x v="0"/>
    <s v="DESVIACION DEXTROCONVEXA LUMBOSACRA ( 2° ) CON HIPERLORDOSIS Y CON ANGULO DE 40°. BOSTEZO L-5-S1. / NO SE IDENTIFICAN FRACTURAS NI TUMORACIONES."/>
    <s v="TORAX RADIOLOGICAMENTE NORMAL, SIN EVIDENCIA DE PATOLOGÍA AGUDA O EVOLUTIVA APARENTE."/>
  </r>
  <r>
    <n v="168095"/>
    <s v="VELA REYES JESUS GUSTAVO"/>
    <s v="MASCULINO"/>
    <x v="0"/>
    <x v="29"/>
    <x v="1"/>
    <x v="0"/>
    <x v="0"/>
    <x v="0"/>
    <s v="Audición Normal "/>
    <s v="Audición Normal"/>
    <x v="40"/>
    <x v="1"/>
    <n v="0.76"/>
    <x v="0"/>
    <s v="Electrocardiograma en reposo sin datos de anormalidad al momento del estudio"/>
    <x v="2"/>
    <x v="2"/>
    <x v="0"/>
    <s v="DESVIACION DEXTROCONVEXA LUMBOSACRA ( 2° ) CON LORDOSIS NORMAL Y CON ANGULO DE 30°. FIJADORES TRANSPEDICULARES Y ESPACIADORES L4-5-S1. / NO SE IDENTIFICAN FRACTURAS NI TUMORACIONES."/>
    <s v="TORAX RADIOLOGICAMENTE NORMAL, SIN EVIDENCIA DE PATOLOGÍA AGUDA O EVOLUTIVA APARENTE."/>
  </r>
  <r>
    <n v="168125"/>
    <s v="VELAZCO VELASCO ERICK ROBERTO"/>
    <s v="MASCULINO"/>
    <x v="2"/>
    <x v="6"/>
    <x v="1"/>
    <x v="0"/>
    <x v="0"/>
    <x v="1"/>
    <s v="Audición Normal "/>
    <s v="Audición Normal, Datos de Fatiga Auditiva"/>
    <x v="3"/>
    <x v="0"/>
    <n v="0.85"/>
    <x v="0"/>
    <s v="Electrocardiograma en reposo sin datos de anormalidad al momento del estudio"/>
    <x v="3"/>
    <x v="1"/>
    <x v="0"/>
    <s v="DESVIACION DEXTROCONVEXA LUMBOSACRA ( 6° ) CON HIPERLORDOSIS Y CON ANGULO DE 40°. PINZAMIENTO L-5-S1. / NO SE IDENTIFICAN FRACTURAS NI TUMORACIONES."/>
    <s v="TORAX RADIOLOGICAMENTE NORMAL, SIN EVIDENCIA DE PATOLOGÍA AGUDA O EVOLUTIVA APARENTE."/>
  </r>
  <r>
    <n v="168049"/>
    <s v="VELAZQUEZ MORENO LORENZO"/>
    <s v="MASCULINO"/>
    <x v="3"/>
    <x v="26"/>
    <x v="0"/>
    <x v="0"/>
    <x v="0"/>
    <x v="0"/>
    <s v="Audición Normal "/>
    <s v="Audición Normal"/>
    <x v="8"/>
    <x v="0"/>
    <n v="0.99"/>
    <x v="0"/>
    <s v="Electrocardiograma en reposo sin datos de anormalidad al momento del estudio"/>
    <x v="3"/>
    <x v="0"/>
    <x v="4"/>
    <s v="DESVIACION DEXTROCONVEXA LUMBOSACRA ( 6° ) CON LORDOSIS NORMAL Y CON ANGULO DE 36°. LIGERO PINZAMIENTO L5-S1. L1 LIGERAMENTE ACUÑADA. / NO SE IDENTIFICAN FRACTURAS NI TUMORACIONES. / BASCULACION PELVICA DERECHA DE 1.8 cm."/>
    <s v="TORAX RADIOLOGICAMENTE NORMAL, SIN EVIDENCIA DE PATOLOGÍA AGUDA O EVOLUTIVA APARENTE."/>
  </r>
  <r>
    <n v="168109"/>
    <s v="VINIEGRA DIAZ LUIS EDUARDO"/>
    <s v="MASCULINO"/>
    <x v="3"/>
    <x v="26"/>
    <x v="1"/>
    <x v="0"/>
    <x v="0"/>
    <x v="0"/>
    <s v="Audición Normal "/>
    <s v="Audición Normal"/>
    <x v="41"/>
    <x v="3"/>
    <s v="FEV1: 79%"/>
    <x v="0"/>
    <s v="Electrocardiograma en reposo sin datos de anormalidad al momento del estudio"/>
    <x v="4"/>
    <x v="0"/>
    <x v="0"/>
    <s v="DESVIACION DEXTROCONVEXA LUMBOSACRA ( 4° ) CON LORDOSIS NORMAL Y CON ANGULO DE 36°. LIGERO ESTRECHAMIENTO L-5-S1. / NO SE IDENTIFICAN FRACTURAS NI TUMORACIONES."/>
    <s v="TORAX RADIOLOGICAMENTE NORMAL, SIN EVIDENCIA DE PATOLOGÍA AGUDA O EVOLUTIVA APARENTE."/>
  </r>
  <r>
    <n v="168043"/>
    <s v="ZAMORA NOGUEZ YONATAN"/>
    <s v="MASCULINO"/>
    <x v="0"/>
    <x v="30"/>
    <x v="1"/>
    <x v="0"/>
    <x v="0"/>
    <x v="0"/>
    <s v="Audición Normal "/>
    <s v="Audición Normal"/>
    <x v="3"/>
    <x v="0"/>
    <n v="0.8"/>
    <x v="0"/>
    <s v="Bradicardia sinusal, resto del estudio sin datos de anormalidad al momento del estudio "/>
    <x v="0"/>
    <x v="5"/>
    <x v="0"/>
    <s v="DESVIACION DEXTROCONVEXA LUMBOSACRA ( 3° ) CON HIPERLORDOSIS, INESTABILIDAD LUMBAR Y CON ANGULO DE 44°. LIGERO PINZAMIENTO L5-S1. / NO SE IDENTIFICAN FRACTURAS NI TUMORACIONES."/>
    <s v="TORAX RADIOLOGICAMENTE NORMAL, SIN EVIDENCIA DE PATOLOGÍA AGUDA O EVOLUTIVA APARENTE."/>
  </r>
  <r>
    <n v="168097"/>
    <s v="ZARATE HERNANDEZ NEMESIO"/>
    <s v="MASCULINO"/>
    <x v="0"/>
    <x v="23"/>
    <x v="0"/>
    <x v="0"/>
    <x v="0"/>
    <x v="2"/>
    <s v="Hipoacusia Neurosensorial, Leve , Sugestivo de Trauma Acústico crónico por ruido "/>
    <s v="Audición Normal, Datos de Fatiga Auditiva"/>
    <x v="33"/>
    <x v="1"/>
    <n v="0.68"/>
    <x v="0"/>
    <s v="Electrocardiograma en reposo sin datos de anormalidad al momento del estudio"/>
    <x v="0"/>
    <x v="1"/>
    <x v="0"/>
    <s v="DESVIACION DEXTROCONVEXA LUMBOSACRA ( 3° ) CON HIPERLORDOSIS, INESTABILIDAD LUMBAR Y CON ANGULO DE 40°. ESTRECHAMIENTO L-5-S1. / NO SE IDENTIFICAN FRACTURAS NI TUMORACIONES."/>
    <s v="TORAX RADIOLOGICAMENTE NORMAL, SIN EVIDENCIA DE PATOLOGÍA AGUDA O EVOLUTIVA APARENTE."/>
  </r>
  <r>
    <n v="168183"/>
    <s v="ZOTO SANCHEZ MARIO KEVIN"/>
    <s v="MASCULINO"/>
    <x v="4"/>
    <x v="11"/>
    <x v="4"/>
    <x v="0"/>
    <x v="0"/>
    <x v="0"/>
    <s v="Audición Normal "/>
    <s v="Audición Normal"/>
    <x v="5"/>
    <x v="0"/>
    <n v="1.02"/>
    <x v="0"/>
    <s v="Electrocardiograma en reposo sin datos de anormalidad al momento del estudio"/>
    <x v="4"/>
    <x v="0"/>
    <x v="0"/>
    <s v="DESVIACION DEXTROCONVEXA LUMBOSACRA ( 4° ) CON LORDOSIS NORMAL Y CON ANGULO DE 36°. ANTEROLISTESIS DE L5 GRADO I. / NO SE IDENTIFICAN FRACTURAS NI TUMORACIONES."/>
    <s v="TORAX RADIOLOGICAMENTE NORMAL, SIN EVIDENCIA DE PATOLOGÍA AGUDA O EVOLUTIVA APARENTE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3A46D-9170-49CC-AFC1-1070D2F9D345}" name="TablaDiná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2:B10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m="1" x="10"/>
        <item m="1" x="8"/>
        <item m="1" x="11"/>
        <item m="1" x="9"/>
        <item m="1" x="7"/>
        <item m="1" x="5"/>
        <item m="1" x="6"/>
        <item x="0"/>
        <item x="1"/>
        <item x="2"/>
        <item x="3"/>
        <item x="4"/>
        <item t="default"/>
      </items>
    </pivotField>
    <pivotField showAll="0"/>
    <pivotField showAll="0"/>
    <pivotField axis="axisRow" dataField="1" showAll="0">
      <items count="74">
        <item x="1"/>
        <item m="1" x="59"/>
        <item m="1" x="61"/>
        <item x="25"/>
        <item m="1" x="71"/>
        <item m="1" x="62"/>
        <item m="1" x="60"/>
        <item x="18"/>
        <item m="1" x="42"/>
        <item m="1" x="68"/>
        <item m="1" x="65"/>
        <item m="1" x="47"/>
        <item m="1" x="63"/>
        <item m="1" x="52"/>
        <item x="7"/>
        <item m="1" x="44"/>
        <item m="1" x="49"/>
        <item m="1" x="45"/>
        <item m="1" x="64"/>
        <item m="1" x="48"/>
        <item m="1" x="72"/>
        <item m="1" x="51"/>
        <item x="34"/>
        <item m="1" x="57"/>
        <item m="1" x="56"/>
        <item m="1" x="53"/>
        <item m="1" x="55"/>
        <item m="1" x="70"/>
        <item m="1" x="66"/>
        <item m="1" x="46"/>
        <item m="1" x="50"/>
        <item m="1" x="67"/>
        <item m="1" x="43"/>
        <item m="1" x="54"/>
        <item m="1" x="58"/>
        <item m="1" x="69"/>
        <item x="0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3">
    <i>
      <x/>
    </i>
    <i>
      <x v="3"/>
    </i>
    <i>
      <x v="7"/>
    </i>
    <i>
      <x v="14"/>
    </i>
    <i>
      <x v="22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pageFields count="1">
    <pageField fld="8" hier="-1"/>
  </pageFields>
  <dataFields count="1">
    <dataField name="Cuenta de % HBC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EB136-4007-444D-AFC4-4C1048491537}" name="TablaDiná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V7:AX24" firstHeaderRow="1" firstDataRow="1" firstDataCol="0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B6419-A12A-4FAD-BB27-5EFCDE1F8BD1}" name="TablaDiná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S7:AT12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EGO BAC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2FD6C-5EC9-4B9F-9E92-133EC38FFE13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:D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uenta de TABAQUISMO 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EF3F3-43E2-482C-A166-E8F597B23B58}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7:AE6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9">
        <item m="1" x="57"/>
        <item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6"/>
        <item x="47"/>
        <item x="48"/>
        <item x="49"/>
        <item x="50"/>
        <item x="51"/>
        <item x="52"/>
        <item x="53"/>
        <item x="54"/>
        <item x="55"/>
        <item x="17"/>
        <item x="19"/>
        <item x="42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Cuenta de GLUC" fld="9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78397-3871-4586-903D-8FAC42EA1D8F}" name="TablaDinámica2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73:I78" firstHeaderRow="1" firstDataRow="1" firstDataCol="1"/>
  <pivotFields count="21">
    <pivotField showAll="0"/>
    <pivotField showAll="0"/>
    <pivotField showAll="0"/>
    <pivotField showAll="0"/>
    <pivotField showAll="0"/>
    <pivotField axis="axisRow" dataField="1" showAll="0">
      <items count="7">
        <item x="1"/>
        <item m="1" x="5"/>
        <item x="0"/>
        <item h="1" x="2"/>
        <item x="3"/>
        <item x="4"/>
        <item t="default"/>
      </items>
    </pivotField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2"/>
    </i>
    <i>
      <x v="4"/>
    </i>
    <i>
      <x v="5"/>
    </i>
    <i t="grand">
      <x/>
    </i>
  </rowItems>
  <colItems count="1">
    <i/>
  </colItems>
  <dataFields count="1">
    <dataField name="Cuenta de AGUDEZA VISUAL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88A62-36C8-4A65-8775-BD39A6998586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8:H19" firstHeaderRow="1" firstDataRow="1" firstDataCol="1" rowPageCount="1" colPageCount="1"/>
  <pivotFields count="21">
    <pivotField showAll="0"/>
    <pivotField showAll="0"/>
    <pivotField showAll="0"/>
    <pivotField showAll="0"/>
    <pivotField axis="axisRow" dataField="1" showAll="0">
      <items count="83">
        <item m="1" x="80"/>
        <item x="4"/>
        <item m="1" x="72"/>
        <item m="1" x="68"/>
        <item x="22"/>
        <item m="1" x="39"/>
        <item m="1" x="67"/>
        <item m="1" x="54"/>
        <item m="1" x="46"/>
        <item m="1" x="33"/>
        <item m="1" x="62"/>
        <item m="1" x="59"/>
        <item m="1" x="58"/>
        <item m="1" x="57"/>
        <item m="1" x="78"/>
        <item x="10"/>
        <item m="1" x="38"/>
        <item m="1" x="74"/>
        <item x="27"/>
        <item m="1" x="56"/>
        <item m="1" x="75"/>
        <item m="1" x="31"/>
        <item m="1" x="47"/>
        <item m="1" x="64"/>
        <item m="1" x="66"/>
        <item m="1" x="61"/>
        <item m="1" x="44"/>
        <item x="26"/>
        <item x="19"/>
        <item m="1" x="45"/>
        <item m="1" x="76"/>
        <item m="1" x="79"/>
        <item m="1" x="40"/>
        <item m="1" x="48"/>
        <item m="1" x="73"/>
        <item m="1" x="52"/>
        <item m="1" x="37"/>
        <item m="1" x="36"/>
        <item m="1" x="49"/>
        <item x="7"/>
        <item x="1"/>
        <item m="1" x="77"/>
        <item m="1" x="53"/>
        <item m="1" x="42"/>
        <item m="1" x="41"/>
        <item m="1" x="55"/>
        <item x="6"/>
        <item m="1" x="65"/>
        <item m="1" x="43"/>
        <item x="9"/>
        <item m="1" x="35"/>
        <item m="1" x="71"/>
        <item m="1" x="34"/>
        <item m="1" x="81"/>
        <item x="16"/>
        <item m="1" x="60"/>
        <item x="29"/>
        <item m="1" x="70"/>
        <item m="1" x="51"/>
        <item m="1" x="50"/>
        <item m="1" x="63"/>
        <item m="1" x="69"/>
        <item x="21"/>
        <item m="1" x="32"/>
        <item x="0"/>
        <item x="2"/>
        <item x="3"/>
        <item x="5"/>
        <item x="8"/>
        <item x="11"/>
        <item x="12"/>
        <item x="13"/>
        <item x="14"/>
        <item x="15"/>
        <item x="17"/>
        <item x="18"/>
        <item x="20"/>
        <item x="23"/>
        <item x="24"/>
        <item x="25"/>
        <item x="28"/>
        <item x="30"/>
        <item t="default"/>
      </items>
    </pivotField>
    <pivotField showAll="0"/>
    <pivotField showAll="0"/>
    <pivotField showAll="0"/>
    <pivotField axis="axisPage" multipleItemSelectionAllowed="1" showAll="0">
      <items count="13">
        <item h="1" m="1" x="10"/>
        <item m="1" x="8"/>
        <item m="1" x="11"/>
        <item m="1" x="9"/>
        <item h="1" m="1" x="7"/>
        <item h="1" m="1" x="5"/>
        <item h="1" m="1" x="6"/>
        <item h="1" x="0"/>
        <item h="1" x="1"/>
        <item x="2"/>
        <item h="1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15"/>
    </i>
    <i>
      <x v="18"/>
    </i>
    <i>
      <x v="39"/>
    </i>
    <i>
      <x v="46"/>
    </i>
    <i>
      <x v="65"/>
    </i>
    <i>
      <x v="66"/>
    </i>
    <i>
      <x v="67"/>
    </i>
    <i>
      <x v="68"/>
    </i>
    <i>
      <x v="77"/>
    </i>
    <i>
      <x v="78"/>
    </i>
    <i t="grand">
      <x/>
    </i>
  </rowItems>
  <colItems count="1">
    <i/>
  </colItems>
  <pageFields count="1">
    <pageField fld="8" hier="-1"/>
  </pageFields>
  <dataFields count="1">
    <dataField name="Cuenta de ANTIGÜEDA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473D4-9F1E-4CB7-A4E8-ECB7B7378662}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A7:AB6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2">
        <item x="24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Cuenta de BH PLA" fld="8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A8013-A8DB-4D1B-B556-D9647A492656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7:P1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m="1" x="7"/>
        <item x="2"/>
        <item x="0"/>
        <item x="4"/>
        <item x="1"/>
        <item x="3"/>
        <item x="5"/>
        <item m="1" x="8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8">
    <i>
      <x v="1"/>
    </i>
    <i>
      <x v="2"/>
    </i>
    <i>
      <x v="3"/>
    </i>
    <i>
      <x v="4"/>
    </i>
    <i>
      <x v="5"/>
    </i>
    <i>
      <x v="6"/>
    </i>
    <i>
      <x v="9"/>
    </i>
    <i t="grand">
      <x/>
    </i>
  </rowItems>
  <colItems count="1">
    <i/>
  </colItems>
  <dataFields count="1">
    <dataField name="Cuenta de GRADO DE ESCOLIOSIS(°)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2DCD9-F107-44D4-9538-F1C827B2F8C7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U7:V1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m="1" x="9"/>
        <item m="1" x="8"/>
        <item m="1" x="7"/>
        <item m="1" x="10"/>
        <item m="1" x="5"/>
        <item x="1"/>
        <item m="1" x="6"/>
        <item x="2"/>
        <item m="1" x="11"/>
        <item x="4"/>
        <item x="3"/>
        <item x="0"/>
        <item t="default"/>
      </items>
    </pivotField>
    <pivotField showAll="0"/>
    <pivotField showAll="0"/>
  </pivotFields>
  <rowFields count="1">
    <field x="18"/>
  </rowFields>
  <rowItems count="6">
    <i>
      <x v="5"/>
    </i>
    <i>
      <x v="7"/>
    </i>
    <i>
      <x v="9"/>
    </i>
    <i>
      <x v="10"/>
    </i>
    <i>
      <x v="11"/>
    </i>
    <i t="grand">
      <x/>
    </i>
  </rowItems>
  <colItems count="1">
    <i/>
  </colItems>
  <dataFields count="1">
    <dataField name="Cuenta de BASCULACIÓN PELVICA (cms)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74C55-409E-42B3-899F-0C865F594175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m="1" x="10"/>
        <item m="1" x="8"/>
        <item m="1" x="11"/>
        <item m="1" x="9"/>
        <item m="1" x="7"/>
        <item m="1" x="5"/>
        <item m="1"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uenta de DX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92482-08C4-4671-B1D1-12FB6A336F6F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4:L1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h="1" m="1" x="10"/>
        <item m="1" x="8"/>
        <item m="1" x="11"/>
        <item m="1" x="9"/>
        <item h="1" m="1" x="7"/>
        <item h="1" m="1" x="5"/>
        <item m="1" x="6"/>
        <item h="1" x="0"/>
        <item h="1" x="1"/>
        <item x="2"/>
        <item h="1" x="3"/>
        <item x="4"/>
        <item t="default"/>
      </items>
    </pivotField>
    <pivotField showAll="0"/>
    <pivotField showAll="0"/>
    <pivotField axis="axisRow" dataField="1" showAll="0">
      <items count="74">
        <item x="1"/>
        <item m="1" x="59"/>
        <item m="1" x="61"/>
        <item x="25"/>
        <item m="1" x="71"/>
        <item m="1" x="62"/>
        <item m="1" x="60"/>
        <item x="18"/>
        <item m="1" x="42"/>
        <item m="1" x="68"/>
        <item m="1" x="65"/>
        <item m="1" x="47"/>
        <item m="1" x="63"/>
        <item m="1" x="52"/>
        <item x="7"/>
        <item m="1" x="44"/>
        <item m="1" x="49"/>
        <item m="1" x="45"/>
        <item m="1" x="64"/>
        <item m="1" x="48"/>
        <item m="1" x="72"/>
        <item m="1" x="51"/>
        <item x="34"/>
        <item m="1" x="57"/>
        <item m="1" x="56"/>
        <item m="1" x="53"/>
        <item m="1" x="55"/>
        <item m="1" x="70"/>
        <item m="1" x="66"/>
        <item m="1" x="46"/>
        <item m="1" x="50"/>
        <item m="1" x="67"/>
        <item m="1" x="43"/>
        <item m="1" x="54"/>
        <item m="1" x="58"/>
        <item m="1" x="69"/>
        <item x="0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4">
    <i>
      <x v="3"/>
    </i>
    <i>
      <x v="14"/>
    </i>
    <i>
      <x v="22"/>
    </i>
    <i>
      <x v="40"/>
    </i>
    <i>
      <x v="41"/>
    </i>
    <i>
      <x v="51"/>
    </i>
    <i>
      <x v="54"/>
    </i>
    <i>
      <x v="55"/>
    </i>
    <i>
      <x v="59"/>
    </i>
    <i>
      <x v="61"/>
    </i>
    <i>
      <x v="65"/>
    </i>
    <i>
      <x v="67"/>
    </i>
    <i>
      <x v="69"/>
    </i>
    <i t="grand">
      <x/>
    </i>
  </rowItems>
  <colItems count="1">
    <i/>
  </colItems>
  <pageFields count="1">
    <pageField fld="8" hier="-1"/>
  </pageFields>
  <dataFields count="1">
    <dataField name="Cuenta de % HBC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F6A05-4081-4034-8F5E-5A842057DE81}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G7:AH74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7">
        <item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Cuenta de COL" fld="14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2E159-280C-478D-9621-AB24E2CA08A7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7:Y50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3">
        <item x="7"/>
        <item x="41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7"/>
        <item x="38"/>
        <item x="39"/>
        <item x="40"/>
        <item x="15"/>
        <item x="33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Cuenta de BH LEU" fld="7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8F0E1-090D-4984-9B56-38C66121B052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7:S2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8">
        <item m="1" x="16"/>
        <item x="14"/>
        <item x="2"/>
        <item x="12"/>
        <item x="6"/>
        <item x="0"/>
        <item x="10"/>
        <item x="1"/>
        <item x="8"/>
        <item x="5"/>
        <item x="3"/>
        <item x="4"/>
        <item x="11"/>
        <item x="15"/>
        <item x="7"/>
        <item x="9"/>
        <item x="13"/>
        <item t="default"/>
      </items>
    </pivotField>
    <pivotField showAll="0"/>
    <pivotField showAll="0"/>
    <pivotField showAll="0"/>
  </pivotFields>
  <rowFields count="1">
    <field x="17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uenta de GRADO DE LORDOSIS(°)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17A01-0D5B-4576-9704-FD9E0EA8A2F9}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M7:AN43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6">
        <item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Cuenta de AU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F455F-8060-4608-A8D1-0FD1E6F0406B}" name="TablaDiná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7:AK7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9">
        <item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Items count="1">
    <i/>
  </colItems>
  <dataFields count="1">
    <dataField name="Cuenta de TRIG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5D863-CC0A-4746-A7DA-A5577D88FD62}" name="TablaDinámica2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5:I8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1"/>
        <item x="0"/>
        <item t="default"/>
      </items>
    </pivotField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2">
    <i>
      <x v="1"/>
    </i>
    <i t="grand">
      <x/>
    </i>
  </rowItems>
  <colItems count="1">
    <i/>
  </colItems>
  <dataFields count="1">
    <dataField name="Cuenta de CAMPOS VISUALE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E1544-3B44-4023-9C9D-BF4420131F04}" name="TablaDiná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P7:AQ17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9"/>
        <item x="0"/>
        <item h="1"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</pivotFields>
  <rowFields count="1">
    <field x="20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CRISTALES EGO" fld="20" subtotal="count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83F54-B8EA-45A7-A5F2-89C344711D54}" name="TablaDinámica2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99:I10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h="1" x="1"/>
        <item x="0"/>
        <item t="default"/>
      </items>
    </pivotField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uenta de DISCRIMINACION DEL COLOR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8352E-2D14-451D-9A49-17523F64EBDF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7:F17" firstHeaderRow="1" firstDataRow="1" firstDataCol="1" rowPageCount="1" colPageCount="1"/>
  <pivotFields count="21">
    <pivotField showAll="0"/>
    <pivotField showAll="0"/>
    <pivotField showAll="0"/>
    <pivotField axis="axisRow" dataField="1" showAll="0">
      <items count="65">
        <item m="1" x="47"/>
        <item m="1" x="50"/>
        <item m="1" x="35"/>
        <item m="1" x="48"/>
        <item x="8"/>
        <item m="1" x="52"/>
        <item m="1" x="53"/>
        <item m="1" x="63"/>
        <item m="1" x="10"/>
        <item m="1" x="49"/>
        <item m="1" x="60"/>
        <item m="1" x="24"/>
        <item m="1" x="25"/>
        <item m="1" x="22"/>
        <item m="1" x="46"/>
        <item m="1" x="21"/>
        <item m="1" x="16"/>
        <item m="1" x="29"/>
        <item m="1" x="32"/>
        <item m="1" x="40"/>
        <item m="1" x="33"/>
        <item m="1" x="11"/>
        <item m="1" x="58"/>
        <item m="1" x="57"/>
        <item m="1" x="61"/>
        <item m="1" x="43"/>
        <item m="1" x="15"/>
        <item m="1" x="30"/>
        <item m="1" x="38"/>
        <item x="5"/>
        <item m="1" x="55"/>
        <item x="1"/>
        <item m="1" x="56"/>
        <item m="1" x="42"/>
        <item m="1" x="18"/>
        <item m="1" x="14"/>
        <item m="1" x="9"/>
        <item m="1" x="59"/>
        <item m="1" x="62"/>
        <item m="1" x="51"/>
        <item m="1" x="54"/>
        <item m="1" x="44"/>
        <item m="1" x="36"/>
        <item m="1" x="34"/>
        <item m="1" x="28"/>
        <item m="1" x="19"/>
        <item m="1" x="12"/>
        <item m="1" x="20"/>
        <item x="7"/>
        <item m="1" x="26"/>
        <item m="1" x="23"/>
        <item m="1" x="39"/>
        <item m="1" x="37"/>
        <item m="1" x="27"/>
        <item m="1" x="45"/>
        <item m="1" x="13"/>
        <item m="1" x="31"/>
        <item m="1" x="17"/>
        <item m="1" x="41"/>
        <item x="6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3">
        <item h="1" m="1" x="10"/>
        <item h="1" m="1" x="8"/>
        <item m="1" x="11"/>
        <item h="1" m="1" x="9"/>
        <item h="1" m="1" x="7"/>
        <item h="1" m="1" x="5"/>
        <item h="1" m="1"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 v="4"/>
    </i>
    <i>
      <x v="29"/>
    </i>
    <i>
      <x v="31"/>
    </i>
    <i>
      <x v="4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pageFields count="1">
    <pageField fld="8" hier="-1"/>
  </pageFields>
  <dataFields count="1">
    <dataField name="Cuenta de AREA/ PUEST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34C4F-ADFF-4B34-9D4B-0785D2471792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4:B2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">
        <item h="1" x="2"/>
        <item x="0"/>
        <item m="1" x="6"/>
        <item m="1" x="7"/>
        <item x="1"/>
        <item m="1" x="5"/>
        <item h="1" m="1"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 v="1"/>
    </i>
    <i>
      <x v="4"/>
    </i>
    <i>
      <x v="7"/>
    </i>
    <i t="grand">
      <x/>
    </i>
  </rowItems>
  <colItems count="1">
    <i/>
  </colItems>
  <dataFields count="1">
    <dataField name="Cuenta de ESPIROMETRIA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E3907-0D03-493E-8193-45FF0549F75E}" name="Tabla1" displayName="Tabla1" ref="A1:B6" totalsRowShown="0">
  <tableColumns count="2">
    <tableColumn id="1" xr3:uid="{5D9C6EAE-E184-4AF3-9856-6DF0B6876793}" name="AGUDEZA VISUAL"/>
    <tableColumn id="2" xr3:uid="{60374DF4-946A-4C36-AD4B-527A26695E39}" name=" 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E49338-977E-466B-AD67-61F97C622026}" name="Tabla2" displayName="Tabla2" ref="A8:B11" totalsRowShown="0" headerRowDxfId="57">
  <tableColumns count="2">
    <tableColumn id="1" xr3:uid="{2AEF2C88-8E33-46FE-8844-449C8EE32613}" name="CAMPOS VISUALES"/>
    <tableColumn id="2" xr3:uid="{5A54CE76-EABB-4FD3-B114-2127F2F619E6}" name=" 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988B9-C3C7-45C5-87C8-19CF0B1E31EC}" name="Tabla3" displayName="Tabla3" ref="A13:B16" totalsRowShown="0">
  <tableColumns count="2">
    <tableColumn id="1" xr3:uid="{EB3FE940-2815-458F-A8F1-215674E7D8BD}" name="DISCRIMINACIÓN DE COLORES"/>
    <tableColumn id="2" xr3:uid="{C733C53D-4431-460E-87A8-188734594E33}" name=" 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A3A593-E937-496A-85FE-CA7F47AEA4EE}" name="Tabla4" displayName="Tabla4" ref="A18:B45" totalsRowShown="0">
  <tableColumns count="2">
    <tableColumn id="1" xr3:uid="{B9E71794-2E6A-44F6-89C5-39D88EDF9C12}" name="AUDIOMETRÍA"/>
    <tableColumn id="2" xr3:uid="{6EA80103-04E7-4704-AE36-A20881C1ACC1}" name=" 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145C7E-ADF3-4A5D-826B-55AB4E777167}" name="Tabla5" displayName="Tabla5" ref="A48:B54" totalsRowShown="0">
  <tableColumns count="2">
    <tableColumn id="1" xr3:uid="{997B5DBA-76C2-427A-8D86-08BEEEBD1DFF}" name="ESPIROMETRÍA"/>
    <tableColumn id="2" xr3:uid="{5EB01DD1-F2D0-42E4-89E2-66DD99AE7300}" name=" 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618304-DE4E-4E9F-B3E4-AA8FD5BD6206}" name="Tabla6" displayName="Tabla6" ref="A56:B63" totalsRowShown="0">
  <tableColumns count="2">
    <tableColumn id="1" xr3:uid="{5422BE63-9DE3-4DA3-B0F4-7D85F8BAB2D9}" name="TOXICOLOGICO"/>
    <tableColumn id="2" xr3:uid="{380AA2C7-518F-46A3-ACEE-7A036C004583}" name=" 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rinterSettings" Target="../printerSettings/printerSettings3.bin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1"/>
  <sheetViews>
    <sheetView tabSelected="1"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Q3" sqref="Q3"/>
    </sheetView>
  </sheetViews>
  <sheetFormatPr baseColWidth="10" defaultRowHeight="15" x14ac:dyDescent="0.25"/>
  <cols>
    <col min="1" max="1" width="14" style="34" bestFit="1" customWidth="1"/>
    <col min="2" max="2" width="38.28515625" style="34" customWidth="1"/>
    <col min="3" max="3" width="15.42578125" style="34" customWidth="1"/>
    <col min="4" max="4" width="29" style="32" customWidth="1"/>
    <col min="5" max="5" width="14.28515625" style="32" customWidth="1"/>
    <col min="6" max="9" width="22.42578125" style="32" customWidth="1"/>
    <col min="10" max="11" width="39.140625" style="32" customWidth="1"/>
    <col min="12" max="12" width="17" style="34" customWidth="1"/>
    <col min="13" max="13" width="46.7109375" style="34" customWidth="1"/>
    <col min="14" max="14" width="20" style="34" customWidth="1"/>
    <col min="15" max="15" width="18.28515625" style="34" customWidth="1"/>
    <col min="16" max="17" width="43.42578125" style="32" customWidth="1"/>
    <col min="18" max="20" width="27.5703125" style="34" customWidth="1"/>
    <col min="21" max="21" width="40.85546875" style="32" customWidth="1"/>
    <col min="22" max="22" width="38.85546875" style="32" customWidth="1"/>
    <col min="23" max="41" width="11.42578125" customWidth="1"/>
  </cols>
  <sheetData>
    <row r="1" spans="1:41" ht="18.75" x14ac:dyDescent="0.25">
      <c r="A1" s="71" t="s">
        <v>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AO1" t="s">
        <v>70</v>
      </c>
    </row>
    <row r="2" spans="1:41" ht="15.75" x14ac:dyDescent="0.25">
      <c r="A2" s="33"/>
      <c r="B2" s="33"/>
      <c r="C2" s="33"/>
      <c r="D2" s="35"/>
      <c r="E2" s="35"/>
      <c r="F2" s="102" t="s">
        <v>15</v>
      </c>
      <c r="G2" s="103"/>
      <c r="H2" s="104"/>
      <c r="I2" s="36"/>
      <c r="J2" s="102" t="s">
        <v>1</v>
      </c>
      <c r="K2" s="103"/>
      <c r="L2" s="104"/>
      <c r="M2" s="33"/>
      <c r="N2" s="33"/>
      <c r="O2" s="33"/>
      <c r="P2" s="35"/>
      <c r="Q2" s="36"/>
      <c r="R2" s="68" t="s">
        <v>8</v>
      </c>
      <c r="S2" s="69"/>
      <c r="T2" s="69"/>
      <c r="U2" s="70"/>
      <c r="V2" s="37" t="s">
        <v>9</v>
      </c>
    </row>
    <row r="3" spans="1:41" ht="31.5" x14ac:dyDescent="0.25">
      <c r="A3" s="2" t="s">
        <v>5</v>
      </c>
      <c r="B3" s="2" t="s">
        <v>0</v>
      </c>
      <c r="C3" s="2" t="s">
        <v>18</v>
      </c>
      <c r="D3" s="2" t="s">
        <v>10</v>
      </c>
      <c r="E3" s="2" t="s">
        <v>6</v>
      </c>
      <c r="F3" s="2" t="s">
        <v>16</v>
      </c>
      <c r="G3" s="2" t="s">
        <v>17</v>
      </c>
      <c r="H3" s="2" t="s">
        <v>282</v>
      </c>
      <c r="I3" s="2" t="s">
        <v>87</v>
      </c>
      <c r="J3" s="2" t="s">
        <v>29</v>
      </c>
      <c r="K3" s="2" t="s">
        <v>30</v>
      </c>
      <c r="L3" s="2" t="s">
        <v>11</v>
      </c>
      <c r="M3" s="2" t="s">
        <v>3</v>
      </c>
      <c r="N3" s="2" t="s">
        <v>7</v>
      </c>
      <c r="O3" s="2" t="s">
        <v>4</v>
      </c>
      <c r="P3" s="2" t="s">
        <v>19</v>
      </c>
      <c r="Q3" s="2" t="s">
        <v>524</v>
      </c>
      <c r="R3" s="31" t="s">
        <v>14</v>
      </c>
      <c r="S3" s="31" t="s">
        <v>13</v>
      </c>
      <c r="T3" s="38" t="s">
        <v>12</v>
      </c>
      <c r="U3" s="31" t="s">
        <v>122</v>
      </c>
      <c r="V3" s="31" t="s">
        <v>122</v>
      </c>
    </row>
    <row r="4" spans="1:41" ht="60" x14ac:dyDescent="0.25">
      <c r="A4" s="48">
        <v>168058</v>
      </c>
      <c r="B4" s="48" t="s">
        <v>206</v>
      </c>
      <c r="C4" s="48" t="s">
        <v>121</v>
      </c>
      <c r="D4" s="48" t="s">
        <v>283</v>
      </c>
      <c r="E4" s="48" t="s">
        <v>370</v>
      </c>
      <c r="F4" s="48" t="s">
        <v>123</v>
      </c>
      <c r="G4" s="48" t="s">
        <v>22</v>
      </c>
      <c r="H4" s="48" t="s">
        <v>22</v>
      </c>
      <c r="I4" s="62" t="s">
        <v>22</v>
      </c>
      <c r="J4" s="76" t="s">
        <v>273</v>
      </c>
      <c r="K4" s="76" t="s">
        <v>31</v>
      </c>
      <c r="L4" s="67">
        <v>-1.25</v>
      </c>
      <c r="M4" s="49" t="s">
        <v>22</v>
      </c>
      <c r="N4" s="63">
        <v>0.93</v>
      </c>
      <c r="O4" s="48" t="s">
        <v>37</v>
      </c>
      <c r="P4" s="77" t="s">
        <v>288</v>
      </c>
      <c r="Q4" s="101" t="s">
        <v>476</v>
      </c>
      <c r="R4" s="48">
        <v>3</v>
      </c>
      <c r="S4" s="48">
        <v>36</v>
      </c>
      <c r="T4" s="48">
        <v>0</v>
      </c>
      <c r="U4" s="48" t="s">
        <v>330</v>
      </c>
      <c r="V4" s="77" t="s">
        <v>292</v>
      </c>
      <c r="AO4" t="e">
        <f>AVERAGE(#REF!,#REF!)</f>
        <v>#REF!</v>
      </c>
    </row>
    <row r="5" spans="1:41" ht="75" x14ac:dyDescent="0.25">
      <c r="A5" s="48">
        <v>168055</v>
      </c>
      <c r="B5" s="48" t="s">
        <v>207</v>
      </c>
      <c r="C5" s="48" t="s">
        <v>121</v>
      </c>
      <c r="D5" s="48" t="s">
        <v>283</v>
      </c>
      <c r="E5" s="48" t="s">
        <v>371</v>
      </c>
      <c r="F5" s="48" t="s">
        <v>123</v>
      </c>
      <c r="G5" s="48" t="s">
        <v>22</v>
      </c>
      <c r="H5" s="48" t="s">
        <v>22</v>
      </c>
      <c r="I5" s="62" t="s">
        <v>403</v>
      </c>
      <c r="J5" s="76" t="s">
        <v>32</v>
      </c>
      <c r="K5" s="76" t="s">
        <v>32</v>
      </c>
      <c r="L5" s="67">
        <v>2.88</v>
      </c>
      <c r="M5" s="49" t="s">
        <v>22</v>
      </c>
      <c r="N5" s="63">
        <v>0.91</v>
      </c>
      <c r="O5" s="48" t="s">
        <v>37</v>
      </c>
      <c r="P5" s="77" t="s">
        <v>288</v>
      </c>
      <c r="Q5" s="101" t="s">
        <v>477</v>
      </c>
      <c r="R5" s="48">
        <v>3</v>
      </c>
      <c r="S5" s="48">
        <v>40</v>
      </c>
      <c r="T5" s="48">
        <v>0</v>
      </c>
      <c r="U5" s="48" t="s">
        <v>331</v>
      </c>
      <c r="V5" s="49" t="s">
        <v>346</v>
      </c>
      <c r="AO5" t="e">
        <f>AVERAGE(#REF!,#REF!)</f>
        <v>#REF!</v>
      </c>
    </row>
    <row r="6" spans="1:41" ht="75" x14ac:dyDescent="0.25">
      <c r="A6" s="48">
        <v>168182</v>
      </c>
      <c r="B6" s="48" t="s">
        <v>289</v>
      </c>
      <c r="C6" s="48" t="s">
        <v>121</v>
      </c>
      <c r="D6" s="48" t="s">
        <v>120</v>
      </c>
      <c r="E6" s="48" t="s">
        <v>372</v>
      </c>
      <c r="F6" s="48" t="s">
        <v>22</v>
      </c>
      <c r="G6" s="48" t="s">
        <v>22</v>
      </c>
      <c r="H6" s="48" t="s">
        <v>22</v>
      </c>
      <c r="I6" s="62" t="s">
        <v>403</v>
      </c>
      <c r="J6" s="76" t="s">
        <v>273</v>
      </c>
      <c r="K6" s="76" t="s">
        <v>32</v>
      </c>
      <c r="L6" s="67">
        <v>5.5</v>
      </c>
      <c r="M6" s="49" t="s">
        <v>135</v>
      </c>
      <c r="N6" s="63">
        <v>0.76</v>
      </c>
      <c r="O6" s="48" t="s">
        <v>36</v>
      </c>
      <c r="P6" s="77" t="s">
        <v>288</v>
      </c>
      <c r="Q6" s="77" t="s">
        <v>516</v>
      </c>
      <c r="R6" s="48">
        <v>3</v>
      </c>
      <c r="S6" s="48">
        <v>30</v>
      </c>
      <c r="T6" s="48">
        <v>0</v>
      </c>
      <c r="U6" s="48" t="s">
        <v>332</v>
      </c>
      <c r="V6" s="77" t="s">
        <v>292</v>
      </c>
      <c r="AO6" t="e">
        <f>AVERAGE(#REF!,#REF!)</f>
        <v>#REF!</v>
      </c>
    </row>
    <row r="7" spans="1:41" ht="75" x14ac:dyDescent="0.25">
      <c r="A7" s="48">
        <v>168023</v>
      </c>
      <c r="B7" s="48" t="s">
        <v>208</v>
      </c>
      <c r="C7" s="48" t="s">
        <v>121</v>
      </c>
      <c r="D7" s="48" t="s">
        <v>284</v>
      </c>
      <c r="E7" s="48" t="s">
        <v>373</v>
      </c>
      <c r="F7" s="48" t="s">
        <v>22</v>
      </c>
      <c r="G7" s="48" t="s">
        <v>22</v>
      </c>
      <c r="H7" s="48" t="s">
        <v>22</v>
      </c>
      <c r="I7" s="62" t="s">
        <v>403</v>
      </c>
      <c r="J7" s="76" t="s">
        <v>32</v>
      </c>
      <c r="K7" s="76" t="s">
        <v>32</v>
      </c>
      <c r="L7" s="67">
        <v>3.38</v>
      </c>
      <c r="M7" s="49" t="s">
        <v>22</v>
      </c>
      <c r="N7" s="63">
        <v>0.85</v>
      </c>
      <c r="O7" s="48" t="s">
        <v>37</v>
      </c>
      <c r="P7" s="77" t="s">
        <v>288</v>
      </c>
      <c r="Q7" s="101" t="s">
        <v>478</v>
      </c>
      <c r="R7" s="48">
        <v>5</v>
      </c>
      <c r="S7" s="48">
        <v>40</v>
      </c>
      <c r="T7" s="48">
        <v>0</v>
      </c>
      <c r="U7" s="48" t="s">
        <v>333</v>
      </c>
      <c r="V7" s="77" t="s">
        <v>292</v>
      </c>
      <c r="AO7" t="e">
        <f>AVERAGE(#REF!,#REF!)</f>
        <v>#REF!</v>
      </c>
    </row>
    <row r="8" spans="1:41" ht="90" x14ac:dyDescent="0.25">
      <c r="A8" s="48">
        <v>168151</v>
      </c>
      <c r="B8" s="48" t="s">
        <v>209</v>
      </c>
      <c r="C8" s="48" t="s">
        <v>190</v>
      </c>
      <c r="D8" s="48" t="s">
        <v>120</v>
      </c>
      <c r="E8" s="48" t="s">
        <v>374</v>
      </c>
      <c r="F8" s="48" t="s">
        <v>45</v>
      </c>
      <c r="G8" s="48" t="s">
        <v>45</v>
      </c>
      <c r="H8" s="48" t="s">
        <v>45</v>
      </c>
      <c r="I8" s="62" t="s">
        <v>22</v>
      </c>
      <c r="J8" s="76" t="s">
        <v>273</v>
      </c>
      <c r="K8" s="76" t="s">
        <v>31</v>
      </c>
      <c r="L8" s="67">
        <v>3.13</v>
      </c>
      <c r="M8" s="48" t="s">
        <v>45</v>
      </c>
      <c r="N8" s="48" t="s">
        <v>45</v>
      </c>
      <c r="O8" s="48" t="s">
        <v>37</v>
      </c>
      <c r="P8" s="48" t="s">
        <v>45</v>
      </c>
      <c r="Q8" s="101" t="s">
        <v>479</v>
      </c>
      <c r="R8" s="48">
        <v>3</v>
      </c>
      <c r="S8" s="48">
        <v>45</v>
      </c>
      <c r="T8" s="48">
        <v>0</v>
      </c>
      <c r="U8" s="48" t="s">
        <v>347</v>
      </c>
      <c r="V8" s="78" t="s">
        <v>45</v>
      </c>
      <c r="AO8" t="e">
        <f>AVERAGE(#REF!,#REF!)</f>
        <v>#REF!</v>
      </c>
    </row>
    <row r="9" spans="1:41" ht="90" x14ac:dyDescent="0.25">
      <c r="A9" s="48">
        <v>168092</v>
      </c>
      <c r="B9" s="48" t="s">
        <v>210</v>
      </c>
      <c r="C9" s="48" t="s">
        <v>121</v>
      </c>
      <c r="D9" s="48" t="s">
        <v>283</v>
      </c>
      <c r="E9" s="48" t="s">
        <v>375</v>
      </c>
      <c r="F9" s="48" t="s">
        <v>22</v>
      </c>
      <c r="G9" s="48" t="s">
        <v>22</v>
      </c>
      <c r="H9" s="48" t="s">
        <v>22</v>
      </c>
      <c r="I9" s="62" t="s">
        <v>404</v>
      </c>
      <c r="J9" s="76" t="s">
        <v>274</v>
      </c>
      <c r="K9" s="76" t="s">
        <v>32</v>
      </c>
      <c r="L9" s="67">
        <v>8</v>
      </c>
      <c r="M9" s="49" t="s">
        <v>22</v>
      </c>
      <c r="N9" s="63">
        <v>1</v>
      </c>
      <c r="O9" s="48" t="s">
        <v>36</v>
      </c>
      <c r="P9" s="49" t="s">
        <v>368</v>
      </c>
      <c r="Q9" s="101" t="s">
        <v>479</v>
      </c>
      <c r="R9" s="48">
        <v>2</v>
      </c>
      <c r="S9" s="48">
        <v>46</v>
      </c>
      <c r="T9" s="48">
        <v>0</v>
      </c>
      <c r="U9" s="48" t="s">
        <v>334</v>
      </c>
      <c r="V9" s="77" t="s">
        <v>292</v>
      </c>
      <c r="AO9" t="e">
        <f>AVERAGE(#REF!,#REF!)</f>
        <v>#REF!</v>
      </c>
    </row>
    <row r="10" spans="1:41" ht="75" x14ac:dyDescent="0.25">
      <c r="A10" s="48">
        <v>168107</v>
      </c>
      <c r="B10" s="48" t="s">
        <v>211</v>
      </c>
      <c r="C10" s="48" t="s">
        <v>121</v>
      </c>
      <c r="D10" s="48" t="s">
        <v>283</v>
      </c>
      <c r="E10" s="48" t="s">
        <v>376</v>
      </c>
      <c r="F10" s="48" t="s">
        <v>22</v>
      </c>
      <c r="G10" s="48" t="s">
        <v>22</v>
      </c>
      <c r="H10" s="48" t="s">
        <v>22</v>
      </c>
      <c r="I10" s="62" t="s">
        <v>22</v>
      </c>
      <c r="J10" s="76" t="s">
        <v>273</v>
      </c>
      <c r="K10" s="76" t="s">
        <v>31</v>
      </c>
      <c r="L10" s="67">
        <v>3.38</v>
      </c>
      <c r="M10" s="49" t="s">
        <v>22</v>
      </c>
      <c r="N10" s="63" t="s">
        <v>275</v>
      </c>
      <c r="O10" s="48" t="s">
        <v>37</v>
      </c>
      <c r="P10" s="77" t="s">
        <v>288</v>
      </c>
      <c r="Q10" s="101" t="s">
        <v>480</v>
      </c>
      <c r="R10" s="48">
        <v>3</v>
      </c>
      <c r="S10" s="48">
        <v>45</v>
      </c>
      <c r="T10" s="48">
        <v>0</v>
      </c>
      <c r="U10" s="48" t="s">
        <v>335</v>
      </c>
      <c r="V10" s="77" t="s">
        <v>292</v>
      </c>
      <c r="AO10" t="e">
        <f>AVERAGE(#REF!,#REF!)</f>
        <v>#REF!</v>
      </c>
    </row>
    <row r="11" spans="1:41" ht="60" x14ac:dyDescent="0.25">
      <c r="A11" s="48">
        <v>168132</v>
      </c>
      <c r="B11" s="48" t="s">
        <v>212</v>
      </c>
      <c r="C11" s="48" t="s">
        <v>121</v>
      </c>
      <c r="D11" s="48" t="s">
        <v>283</v>
      </c>
      <c r="E11" s="48" t="s">
        <v>377</v>
      </c>
      <c r="F11" s="48" t="s">
        <v>22</v>
      </c>
      <c r="G11" s="48" t="s">
        <v>22</v>
      </c>
      <c r="H11" s="48" t="s">
        <v>22</v>
      </c>
      <c r="I11" s="62" t="s">
        <v>404</v>
      </c>
      <c r="J11" s="76" t="s">
        <v>274</v>
      </c>
      <c r="K11" s="76" t="s">
        <v>276</v>
      </c>
      <c r="L11" s="67">
        <v>9.1300000000000008</v>
      </c>
      <c r="M11" s="49" t="s">
        <v>135</v>
      </c>
      <c r="N11" s="63">
        <v>0.77</v>
      </c>
      <c r="O11" s="48" t="s">
        <v>37</v>
      </c>
      <c r="P11" s="77" t="s">
        <v>288</v>
      </c>
      <c r="Q11" s="101" t="s">
        <v>481</v>
      </c>
      <c r="R11" s="48">
        <v>3</v>
      </c>
      <c r="S11" s="48">
        <v>44</v>
      </c>
      <c r="T11" s="48">
        <v>0</v>
      </c>
      <c r="U11" s="48" t="s">
        <v>336</v>
      </c>
      <c r="V11" s="77" t="s">
        <v>292</v>
      </c>
      <c r="AO11" t="e">
        <f>AVERAGE(#REF!,#REF!)</f>
        <v>#REF!</v>
      </c>
    </row>
    <row r="12" spans="1:41" ht="105" x14ac:dyDescent="0.25">
      <c r="A12" s="48">
        <v>168146</v>
      </c>
      <c r="B12" s="48" t="s">
        <v>213</v>
      </c>
      <c r="C12" s="48" t="s">
        <v>121</v>
      </c>
      <c r="D12" s="48" t="s">
        <v>285</v>
      </c>
      <c r="E12" s="48" t="s">
        <v>378</v>
      </c>
      <c r="F12" s="48" t="s">
        <v>123</v>
      </c>
      <c r="G12" s="48" t="s">
        <v>22</v>
      </c>
      <c r="H12" s="48" t="s">
        <v>22</v>
      </c>
      <c r="I12" s="62" t="s">
        <v>22</v>
      </c>
      <c r="J12" s="76" t="s">
        <v>273</v>
      </c>
      <c r="K12" s="76" t="s">
        <v>31</v>
      </c>
      <c r="L12" s="67">
        <v>3.38</v>
      </c>
      <c r="M12" s="49" t="s">
        <v>135</v>
      </c>
      <c r="N12" s="63">
        <v>0.73</v>
      </c>
      <c r="O12" s="48" t="s">
        <v>37</v>
      </c>
      <c r="P12" s="77" t="s">
        <v>288</v>
      </c>
      <c r="Q12" s="101" t="s">
        <v>482</v>
      </c>
      <c r="R12" s="48">
        <v>5</v>
      </c>
      <c r="S12" s="48">
        <v>44</v>
      </c>
      <c r="T12" s="48">
        <v>1</v>
      </c>
      <c r="U12" s="48" t="s">
        <v>337</v>
      </c>
      <c r="V12" s="77" t="s">
        <v>292</v>
      </c>
      <c r="AO12" t="e">
        <f>AVERAGE(#REF!,#REF!)</f>
        <v>#REF!</v>
      </c>
    </row>
    <row r="13" spans="1:41" ht="75" x14ac:dyDescent="0.25">
      <c r="A13" s="48">
        <v>168094</v>
      </c>
      <c r="B13" s="48" t="s">
        <v>214</v>
      </c>
      <c r="C13" s="48" t="s">
        <v>121</v>
      </c>
      <c r="D13" s="48" t="s">
        <v>283</v>
      </c>
      <c r="E13" s="48" t="s">
        <v>376</v>
      </c>
      <c r="F13" s="48" t="s">
        <v>24</v>
      </c>
      <c r="G13" s="48" t="s">
        <v>22</v>
      </c>
      <c r="H13" s="48" t="s">
        <v>22</v>
      </c>
      <c r="I13" s="62" t="s">
        <v>404</v>
      </c>
      <c r="J13" s="76" t="s">
        <v>274</v>
      </c>
      <c r="K13" s="76" t="s">
        <v>31</v>
      </c>
      <c r="L13" s="67">
        <v>10.38</v>
      </c>
      <c r="M13" s="49" t="s">
        <v>135</v>
      </c>
      <c r="N13" s="63">
        <v>0.74</v>
      </c>
      <c r="O13" s="48" t="s">
        <v>37</v>
      </c>
      <c r="P13" s="77" t="s">
        <v>288</v>
      </c>
      <c r="Q13" s="101" t="s">
        <v>483</v>
      </c>
      <c r="R13" s="48">
        <v>6</v>
      </c>
      <c r="S13" s="48">
        <v>40</v>
      </c>
      <c r="T13" s="48">
        <v>0</v>
      </c>
      <c r="U13" s="48" t="s">
        <v>338</v>
      </c>
      <c r="V13" s="77" t="s">
        <v>292</v>
      </c>
      <c r="AO13" t="e">
        <f>AVERAGE(#REF!,#REF!)</f>
        <v>#REF!</v>
      </c>
    </row>
    <row r="14" spans="1:41" ht="75" x14ac:dyDescent="0.25">
      <c r="A14" s="48">
        <v>168100</v>
      </c>
      <c r="B14" s="48" t="s">
        <v>215</v>
      </c>
      <c r="C14" s="48" t="s">
        <v>121</v>
      </c>
      <c r="D14" s="48" t="s">
        <v>284</v>
      </c>
      <c r="E14" s="48" t="s">
        <v>379</v>
      </c>
      <c r="F14" s="48" t="s">
        <v>22</v>
      </c>
      <c r="G14" s="48" t="s">
        <v>22</v>
      </c>
      <c r="H14" s="48" t="s">
        <v>22</v>
      </c>
      <c r="I14" s="62" t="s">
        <v>403</v>
      </c>
      <c r="J14" s="76" t="s">
        <v>273</v>
      </c>
      <c r="K14" s="76" t="s">
        <v>32</v>
      </c>
      <c r="L14" s="67">
        <v>-0.5</v>
      </c>
      <c r="M14" s="49" t="s">
        <v>22</v>
      </c>
      <c r="N14" s="63">
        <v>0.86</v>
      </c>
      <c r="O14" s="48" t="s">
        <v>37</v>
      </c>
      <c r="P14" s="77" t="s">
        <v>288</v>
      </c>
      <c r="Q14" s="101" t="s">
        <v>483</v>
      </c>
      <c r="R14" s="48">
        <v>5</v>
      </c>
      <c r="S14" s="48">
        <v>36</v>
      </c>
      <c r="T14" s="48">
        <v>0</v>
      </c>
      <c r="U14" s="48" t="s">
        <v>339</v>
      </c>
      <c r="V14" s="77" t="s">
        <v>292</v>
      </c>
      <c r="AO14" t="e">
        <f>AVERAGE(#REF!,#REF!)</f>
        <v>#REF!</v>
      </c>
    </row>
    <row r="15" spans="1:41" ht="75" x14ac:dyDescent="0.25">
      <c r="A15" s="48">
        <v>168178</v>
      </c>
      <c r="B15" s="48" t="s">
        <v>216</v>
      </c>
      <c r="C15" s="48" t="s">
        <v>121</v>
      </c>
      <c r="D15" s="48" t="s">
        <v>286</v>
      </c>
      <c r="E15" s="48" t="s">
        <v>381</v>
      </c>
      <c r="F15" s="48" t="s">
        <v>22</v>
      </c>
      <c r="G15" s="48" t="s">
        <v>22</v>
      </c>
      <c r="H15" s="48" t="s">
        <v>22</v>
      </c>
      <c r="I15" s="62" t="s">
        <v>22</v>
      </c>
      <c r="J15" s="76" t="s">
        <v>273</v>
      </c>
      <c r="K15" s="76" t="s">
        <v>31</v>
      </c>
      <c r="L15" s="67">
        <v>4.5</v>
      </c>
      <c r="M15" s="49" t="s">
        <v>22</v>
      </c>
      <c r="N15" s="79">
        <v>0.8</v>
      </c>
      <c r="O15" s="48" t="s">
        <v>37</v>
      </c>
      <c r="P15" s="49" t="s">
        <v>368</v>
      </c>
      <c r="Q15" s="49" t="s">
        <v>484</v>
      </c>
      <c r="R15" s="48">
        <v>4</v>
      </c>
      <c r="S15" s="48">
        <v>34</v>
      </c>
      <c r="T15" s="48">
        <v>0</v>
      </c>
      <c r="U15" s="48" t="s">
        <v>340</v>
      </c>
      <c r="V15" s="77" t="s">
        <v>292</v>
      </c>
      <c r="AO15" t="e">
        <f>AVERAGE(#REF!,#REF!)</f>
        <v>#REF!</v>
      </c>
    </row>
    <row r="16" spans="1:41" ht="105" x14ac:dyDescent="0.25">
      <c r="A16" s="48">
        <v>168175</v>
      </c>
      <c r="B16" s="48" t="s">
        <v>217</v>
      </c>
      <c r="C16" s="48" t="s">
        <v>121</v>
      </c>
      <c r="D16" s="48" t="s">
        <v>287</v>
      </c>
      <c r="E16" s="48" t="s">
        <v>379</v>
      </c>
      <c r="F16" s="48" t="s">
        <v>45</v>
      </c>
      <c r="G16" s="48" t="s">
        <v>45</v>
      </c>
      <c r="H16" s="48" t="s">
        <v>45</v>
      </c>
      <c r="I16" s="62" t="s">
        <v>22</v>
      </c>
      <c r="J16" s="76" t="s">
        <v>273</v>
      </c>
      <c r="K16" s="76" t="s">
        <v>31</v>
      </c>
      <c r="L16" s="67">
        <v>5.5</v>
      </c>
      <c r="M16" s="48" t="s">
        <v>45</v>
      </c>
      <c r="N16" s="48" t="s">
        <v>45</v>
      </c>
      <c r="O16" s="48" t="s">
        <v>37</v>
      </c>
      <c r="P16" s="48" t="s">
        <v>45</v>
      </c>
      <c r="Q16" s="101" t="s">
        <v>525</v>
      </c>
      <c r="R16" s="48">
        <v>4</v>
      </c>
      <c r="S16" s="48">
        <v>58</v>
      </c>
      <c r="T16" s="48">
        <v>1.4</v>
      </c>
      <c r="U16" s="48" t="s">
        <v>348</v>
      </c>
      <c r="V16" s="78" t="s">
        <v>45</v>
      </c>
      <c r="AO16" t="e">
        <f>AVERAGE(#REF!,#REF!)</f>
        <v>#REF!</v>
      </c>
    </row>
    <row r="17" spans="1:41" ht="75" x14ac:dyDescent="0.25">
      <c r="A17" s="48">
        <v>168041</v>
      </c>
      <c r="B17" s="48" t="s">
        <v>218</v>
      </c>
      <c r="C17" s="48" t="s">
        <v>121</v>
      </c>
      <c r="D17" s="48" t="s">
        <v>284</v>
      </c>
      <c r="E17" s="48" t="s">
        <v>372</v>
      </c>
      <c r="F17" s="48" t="s">
        <v>22</v>
      </c>
      <c r="G17" s="48" t="s">
        <v>22</v>
      </c>
      <c r="H17" s="48" t="s">
        <v>22</v>
      </c>
      <c r="I17" s="62" t="s">
        <v>22</v>
      </c>
      <c r="J17" s="76" t="s">
        <v>273</v>
      </c>
      <c r="K17" s="76" t="s">
        <v>31</v>
      </c>
      <c r="L17" s="67">
        <v>5.5</v>
      </c>
      <c r="M17" s="48" t="s">
        <v>22</v>
      </c>
      <c r="N17" s="66">
        <v>0.85</v>
      </c>
      <c r="O17" s="48" t="s">
        <v>37</v>
      </c>
      <c r="P17" s="77" t="s">
        <v>288</v>
      </c>
      <c r="Q17" s="101" t="s">
        <v>485</v>
      </c>
      <c r="R17" s="48">
        <v>3</v>
      </c>
      <c r="S17" s="48">
        <v>40</v>
      </c>
      <c r="T17" s="48">
        <v>0</v>
      </c>
      <c r="U17" s="48" t="s">
        <v>341</v>
      </c>
      <c r="V17" s="77" t="s">
        <v>292</v>
      </c>
      <c r="AO17" t="e">
        <f>AVERAGE(#REF!,#REF!)</f>
        <v>#REF!</v>
      </c>
    </row>
    <row r="18" spans="1:41" ht="60" x14ac:dyDescent="0.25">
      <c r="A18" s="48">
        <v>168016</v>
      </c>
      <c r="B18" s="48" t="s">
        <v>219</v>
      </c>
      <c r="C18" s="48" t="s">
        <v>121</v>
      </c>
      <c r="D18" s="48" t="s">
        <v>283</v>
      </c>
      <c r="E18" s="48" t="s">
        <v>382</v>
      </c>
      <c r="F18" s="48" t="s">
        <v>22</v>
      </c>
      <c r="G18" s="48" t="s">
        <v>22</v>
      </c>
      <c r="H18" s="48" t="s">
        <v>22</v>
      </c>
      <c r="I18" s="62" t="s">
        <v>403</v>
      </c>
      <c r="J18" s="76" t="s">
        <v>32</v>
      </c>
      <c r="K18" s="76" t="s">
        <v>32</v>
      </c>
      <c r="L18" s="67">
        <v>4.13</v>
      </c>
      <c r="M18" s="48" t="s">
        <v>22</v>
      </c>
      <c r="N18" s="66">
        <v>0.87</v>
      </c>
      <c r="O18" s="48" t="s">
        <v>36</v>
      </c>
      <c r="P18" s="49" t="s">
        <v>368</v>
      </c>
      <c r="Q18" s="101" t="s">
        <v>486</v>
      </c>
      <c r="R18" s="48">
        <v>3</v>
      </c>
      <c r="S18" s="48">
        <v>36</v>
      </c>
      <c r="T18" s="48">
        <v>0</v>
      </c>
      <c r="U18" s="48" t="s">
        <v>342</v>
      </c>
      <c r="V18" s="77" t="s">
        <v>292</v>
      </c>
      <c r="AO18" t="e">
        <f>AVERAGE(#REF!,#REF!)</f>
        <v>#REF!</v>
      </c>
    </row>
    <row r="19" spans="1:41" ht="90" x14ac:dyDescent="0.25">
      <c r="A19" s="48">
        <v>168098</v>
      </c>
      <c r="B19" s="48" t="s">
        <v>220</v>
      </c>
      <c r="C19" s="48" t="s">
        <v>121</v>
      </c>
      <c r="D19" s="48" t="s">
        <v>283</v>
      </c>
      <c r="E19" s="48" t="s">
        <v>379</v>
      </c>
      <c r="F19" s="48" t="s">
        <v>22</v>
      </c>
      <c r="G19" s="48" t="s">
        <v>22</v>
      </c>
      <c r="H19" s="48" t="s">
        <v>22</v>
      </c>
      <c r="I19" s="62" t="s">
        <v>403</v>
      </c>
      <c r="J19" s="76" t="s">
        <v>273</v>
      </c>
      <c r="K19" s="76" t="s">
        <v>32</v>
      </c>
      <c r="L19" s="67">
        <v>4.25</v>
      </c>
      <c r="M19" s="48" t="s">
        <v>22</v>
      </c>
      <c r="N19" s="66">
        <v>0.95</v>
      </c>
      <c r="O19" s="48" t="s">
        <v>37</v>
      </c>
      <c r="P19" s="77" t="s">
        <v>288</v>
      </c>
      <c r="Q19" s="101" t="s">
        <v>487</v>
      </c>
      <c r="R19" s="48">
        <v>3</v>
      </c>
      <c r="S19" s="48">
        <v>44</v>
      </c>
      <c r="T19" s="48">
        <v>0</v>
      </c>
      <c r="U19" s="48" t="s">
        <v>343</v>
      </c>
      <c r="V19" s="77" t="s">
        <v>292</v>
      </c>
      <c r="AO19" t="e">
        <f>AVERAGE(#REF!,#REF!)</f>
        <v>#REF!</v>
      </c>
    </row>
    <row r="20" spans="1:41" ht="75" x14ac:dyDescent="0.25">
      <c r="A20" s="48">
        <v>168040</v>
      </c>
      <c r="B20" s="48" t="s">
        <v>221</v>
      </c>
      <c r="C20" s="48" t="s">
        <v>121</v>
      </c>
      <c r="D20" s="48" t="s">
        <v>284</v>
      </c>
      <c r="E20" s="48" t="s">
        <v>374</v>
      </c>
      <c r="F20" s="48" t="s">
        <v>22</v>
      </c>
      <c r="G20" s="48" t="s">
        <v>22</v>
      </c>
      <c r="H20" s="48" t="s">
        <v>22</v>
      </c>
      <c r="I20" s="62" t="s">
        <v>403</v>
      </c>
      <c r="J20" s="76" t="s">
        <v>273</v>
      </c>
      <c r="K20" s="76" t="s">
        <v>32</v>
      </c>
      <c r="L20" s="67">
        <v>3.63</v>
      </c>
      <c r="M20" s="49" t="s">
        <v>135</v>
      </c>
      <c r="N20" s="66">
        <v>0.79</v>
      </c>
      <c r="O20" s="48" t="s">
        <v>37</v>
      </c>
      <c r="P20" s="49" t="s">
        <v>369</v>
      </c>
      <c r="Q20" s="49" t="s">
        <v>506</v>
      </c>
      <c r="R20" s="48">
        <v>4</v>
      </c>
      <c r="S20" s="48">
        <v>44</v>
      </c>
      <c r="T20" s="48">
        <v>0</v>
      </c>
      <c r="U20" s="48" t="s">
        <v>344</v>
      </c>
      <c r="V20" s="77" t="s">
        <v>292</v>
      </c>
      <c r="AO20" t="e">
        <f>AVERAGE(#REF!,#REF!)</f>
        <v>#REF!</v>
      </c>
    </row>
    <row r="21" spans="1:41" ht="75" x14ac:dyDescent="0.25">
      <c r="A21" s="48">
        <v>168014</v>
      </c>
      <c r="B21" s="48" t="s">
        <v>222</v>
      </c>
      <c r="C21" s="48" t="s">
        <v>121</v>
      </c>
      <c r="D21" s="48" t="s">
        <v>284</v>
      </c>
      <c r="E21" s="48" t="s">
        <v>383</v>
      </c>
      <c r="F21" s="48" t="s">
        <v>24</v>
      </c>
      <c r="G21" s="48" t="s">
        <v>22</v>
      </c>
      <c r="H21" s="48" t="s">
        <v>22</v>
      </c>
      <c r="I21" s="62" t="s">
        <v>403</v>
      </c>
      <c r="J21" s="76" t="s">
        <v>32</v>
      </c>
      <c r="K21" s="76" t="s">
        <v>32</v>
      </c>
      <c r="L21" s="67">
        <v>5.38</v>
      </c>
      <c r="M21" s="48" t="s">
        <v>22</v>
      </c>
      <c r="N21" s="66">
        <v>0.91</v>
      </c>
      <c r="O21" s="48" t="s">
        <v>36</v>
      </c>
      <c r="P21" s="77" t="s">
        <v>288</v>
      </c>
      <c r="Q21" s="49" t="s">
        <v>488</v>
      </c>
      <c r="R21" s="48">
        <v>3</v>
      </c>
      <c r="S21" s="48">
        <v>36</v>
      </c>
      <c r="T21" s="48">
        <v>0</v>
      </c>
      <c r="U21" s="48" t="s">
        <v>345</v>
      </c>
      <c r="V21" s="77" t="s">
        <v>292</v>
      </c>
      <c r="AO21" t="e">
        <f>AVERAGE(#REF!,#REF!)</f>
        <v>#REF!</v>
      </c>
    </row>
    <row r="22" spans="1:41" ht="90" x14ac:dyDescent="0.25">
      <c r="A22" s="48">
        <v>168047</v>
      </c>
      <c r="B22" s="48" t="s">
        <v>223</v>
      </c>
      <c r="C22" s="48" t="s">
        <v>121</v>
      </c>
      <c r="D22" s="48" t="s">
        <v>286</v>
      </c>
      <c r="E22" s="48" t="s">
        <v>384</v>
      </c>
      <c r="F22" s="48" t="s">
        <v>45</v>
      </c>
      <c r="G22" s="48" t="s">
        <v>45</v>
      </c>
      <c r="H22" s="48" t="s">
        <v>45</v>
      </c>
      <c r="I22" s="62" t="s">
        <v>22</v>
      </c>
      <c r="J22" s="76" t="s">
        <v>273</v>
      </c>
      <c r="K22" s="76" t="s">
        <v>31</v>
      </c>
      <c r="L22" s="67">
        <v>2.25</v>
      </c>
      <c r="M22" s="48" t="s">
        <v>45</v>
      </c>
      <c r="N22" s="48" t="s">
        <v>45</v>
      </c>
      <c r="O22" s="48" t="s">
        <v>37</v>
      </c>
      <c r="P22" s="48" t="s">
        <v>45</v>
      </c>
      <c r="Q22" s="77" t="s">
        <v>489</v>
      </c>
      <c r="R22" s="48">
        <v>4</v>
      </c>
      <c r="S22" s="48">
        <v>30</v>
      </c>
      <c r="T22" s="48">
        <v>0</v>
      </c>
      <c r="U22" s="48" t="s">
        <v>349</v>
      </c>
      <c r="V22" s="78" t="s">
        <v>45</v>
      </c>
      <c r="AO22" t="e">
        <f>AVERAGE(#REF!,#REF!)</f>
        <v>#REF!</v>
      </c>
    </row>
    <row r="23" spans="1:41" ht="60" x14ac:dyDescent="0.25">
      <c r="A23" s="48">
        <v>168056</v>
      </c>
      <c r="B23" s="48" t="s">
        <v>224</v>
      </c>
      <c r="C23" s="48" t="s">
        <v>121</v>
      </c>
      <c r="D23" s="48" t="s">
        <v>283</v>
      </c>
      <c r="E23" s="48" t="s">
        <v>371</v>
      </c>
      <c r="F23" s="48" t="s">
        <v>22</v>
      </c>
      <c r="G23" s="48" t="s">
        <v>22</v>
      </c>
      <c r="H23" s="48" t="s">
        <v>22</v>
      </c>
      <c r="I23" s="62" t="s">
        <v>22</v>
      </c>
      <c r="J23" s="76" t="s">
        <v>273</v>
      </c>
      <c r="K23" s="76" t="s">
        <v>31</v>
      </c>
      <c r="L23" s="67">
        <v>3.5</v>
      </c>
      <c r="M23" s="49" t="s">
        <v>135</v>
      </c>
      <c r="N23" s="66">
        <v>0.71</v>
      </c>
      <c r="O23" s="48" t="s">
        <v>37</v>
      </c>
      <c r="P23" s="77" t="s">
        <v>288</v>
      </c>
      <c r="Q23" s="101" t="s">
        <v>487</v>
      </c>
      <c r="R23" s="48">
        <v>2</v>
      </c>
      <c r="S23" s="48">
        <v>34</v>
      </c>
      <c r="T23" s="48">
        <v>0</v>
      </c>
      <c r="U23" s="78" t="s">
        <v>473</v>
      </c>
      <c r="V23" s="77" t="s">
        <v>474</v>
      </c>
      <c r="AO23" t="e">
        <f>AVERAGE(#REF!,#REF!)</f>
        <v>#REF!</v>
      </c>
    </row>
    <row r="24" spans="1:41" ht="105" x14ac:dyDescent="0.25">
      <c r="A24" s="48">
        <v>168066</v>
      </c>
      <c r="B24" s="48" t="s">
        <v>225</v>
      </c>
      <c r="C24" s="48" t="s">
        <v>121</v>
      </c>
      <c r="D24" s="48" t="s">
        <v>286</v>
      </c>
      <c r="E24" s="48" t="s">
        <v>373</v>
      </c>
      <c r="F24" s="48" t="s">
        <v>22</v>
      </c>
      <c r="G24" s="48" t="s">
        <v>22</v>
      </c>
      <c r="H24" s="48" t="s">
        <v>22</v>
      </c>
      <c r="I24" s="62" t="s">
        <v>404</v>
      </c>
      <c r="J24" s="76" t="s">
        <v>274</v>
      </c>
      <c r="K24" s="76" t="s">
        <v>31</v>
      </c>
      <c r="L24" s="67">
        <v>8</v>
      </c>
      <c r="M24" s="49" t="s">
        <v>135</v>
      </c>
      <c r="N24" s="66">
        <v>0.75</v>
      </c>
      <c r="O24" s="48" t="s">
        <v>37</v>
      </c>
      <c r="P24" s="49" t="s">
        <v>368</v>
      </c>
      <c r="Q24" s="49" t="s">
        <v>490</v>
      </c>
      <c r="R24" s="48">
        <v>5</v>
      </c>
      <c r="S24" s="48">
        <v>45</v>
      </c>
      <c r="T24" s="48">
        <v>1</v>
      </c>
      <c r="U24" s="48" t="s">
        <v>350</v>
      </c>
      <c r="V24" s="77" t="s">
        <v>292</v>
      </c>
      <c r="AO24" t="e">
        <f>AVERAGE(#REF!,#REF!)</f>
        <v>#REF!</v>
      </c>
    </row>
    <row r="25" spans="1:41" ht="75" x14ac:dyDescent="0.25">
      <c r="A25" s="48">
        <v>168093</v>
      </c>
      <c r="B25" s="48" t="s">
        <v>226</v>
      </c>
      <c r="C25" s="48" t="s">
        <v>121</v>
      </c>
      <c r="D25" s="48" t="s">
        <v>283</v>
      </c>
      <c r="E25" s="48" t="s">
        <v>385</v>
      </c>
      <c r="F25" s="48" t="s">
        <v>22</v>
      </c>
      <c r="G25" s="48" t="s">
        <v>22</v>
      </c>
      <c r="H25" s="48" t="s">
        <v>22</v>
      </c>
      <c r="I25" s="62" t="s">
        <v>22</v>
      </c>
      <c r="J25" s="76" t="s">
        <v>273</v>
      </c>
      <c r="K25" s="76" t="s">
        <v>31</v>
      </c>
      <c r="L25" s="67">
        <v>0.63</v>
      </c>
      <c r="M25" s="48" t="s">
        <v>22</v>
      </c>
      <c r="N25" s="66">
        <v>1</v>
      </c>
      <c r="O25" s="48" t="s">
        <v>36</v>
      </c>
      <c r="P25" s="49" t="s">
        <v>368</v>
      </c>
      <c r="Q25" s="101" t="s">
        <v>491</v>
      </c>
      <c r="R25" s="48">
        <v>3</v>
      </c>
      <c r="S25" s="48">
        <v>42</v>
      </c>
      <c r="T25" s="48">
        <v>0</v>
      </c>
      <c r="U25" s="48" t="s">
        <v>351</v>
      </c>
      <c r="V25" s="49" t="s">
        <v>352</v>
      </c>
      <c r="AO25" t="e">
        <f>AVERAGE(#REF!,#REF!)</f>
        <v>#REF!</v>
      </c>
    </row>
    <row r="26" spans="1:41" ht="75" x14ac:dyDescent="0.25">
      <c r="A26" s="48">
        <v>168019</v>
      </c>
      <c r="B26" s="48" t="s">
        <v>227</v>
      </c>
      <c r="C26" s="48" t="s">
        <v>121</v>
      </c>
      <c r="D26" s="48" t="s">
        <v>283</v>
      </c>
      <c r="E26" s="48" t="s">
        <v>386</v>
      </c>
      <c r="F26" s="48" t="s">
        <v>22</v>
      </c>
      <c r="G26" s="48" t="s">
        <v>22</v>
      </c>
      <c r="H26" s="48" t="s">
        <v>22</v>
      </c>
      <c r="I26" s="62" t="s">
        <v>403</v>
      </c>
      <c r="J26" s="76" t="s">
        <v>273</v>
      </c>
      <c r="K26" s="76" t="s">
        <v>32</v>
      </c>
      <c r="L26" s="67">
        <v>4.63</v>
      </c>
      <c r="M26" s="49" t="s">
        <v>135</v>
      </c>
      <c r="N26" s="66">
        <v>0.71</v>
      </c>
      <c r="O26" s="48" t="s">
        <v>37</v>
      </c>
      <c r="P26" s="77" t="s">
        <v>288</v>
      </c>
      <c r="Q26" s="49" t="s">
        <v>492</v>
      </c>
      <c r="R26" s="48">
        <v>5</v>
      </c>
      <c r="S26" s="48">
        <v>36</v>
      </c>
      <c r="T26" s="48">
        <v>0</v>
      </c>
      <c r="U26" s="48" t="s">
        <v>353</v>
      </c>
      <c r="V26" s="77" t="s">
        <v>292</v>
      </c>
      <c r="AO26" t="e">
        <f>AVERAGE(#REF!,#REF!)</f>
        <v>#REF!</v>
      </c>
    </row>
    <row r="27" spans="1:41" ht="75" x14ac:dyDescent="0.25">
      <c r="A27" s="48">
        <v>168054</v>
      </c>
      <c r="B27" s="48" t="s">
        <v>228</v>
      </c>
      <c r="C27" s="48" t="s">
        <v>190</v>
      </c>
      <c r="D27" s="48" t="s">
        <v>120</v>
      </c>
      <c r="E27" s="48" t="s">
        <v>381</v>
      </c>
      <c r="F27" s="48" t="s">
        <v>45</v>
      </c>
      <c r="G27" s="48" t="s">
        <v>45</v>
      </c>
      <c r="H27" s="48" t="s">
        <v>45</v>
      </c>
      <c r="I27" s="62" t="s">
        <v>22</v>
      </c>
      <c r="J27" s="76" t="s">
        <v>273</v>
      </c>
      <c r="K27" s="76" t="s">
        <v>31</v>
      </c>
      <c r="L27" s="67">
        <v>7.63</v>
      </c>
      <c r="M27" s="48" t="s">
        <v>45</v>
      </c>
      <c r="N27" s="48" t="s">
        <v>45</v>
      </c>
      <c r="O27" s="48" t="s">
        <v>37</v>
      </c>
      <c r="P27" s="48" t="s">
        <v>45</v>
      </c>
      <c r="Q27" s="101" t="s">
        <v>493</v>
      </c>
      <c r="R27" s="48">
        <v>4</v>
      </c>
      <c r="S27" s="48">
        <v>44</v>
      </c>
      <c r="T27" s="48">
        <v>0</v>
      </c>
      <c r="U27" s="48" t="s">
        <v>354</v>
      </c>
      <c r="V27" s="78" t="s">
        <v>45</v>
      </c>
      <c r="AO27" t="e">
        <f>AVERAGE(#REF!,#REF!)</f>
        <v>#REF!</v>
      </c>
    </row>
    <row r="28" spans="1:41" ht="105" x14ac:dyDescent="0.25">
      <c r="A28" s="48">
        <v>168015</v>
      </c>
      <c r="B28" s="48" t="s">
        <v>229</v>
      </c>
      <c r="C28" s="48" t="s">
        <v>121</v>
      </c>
      <c r="D28" s="48"/>
      <c r="E28" s="48" t="s">
        <v>374</v>
      </c>
      <c r="F28" s="48" t="s">
        <v>22</v>
      </c>
      <c r="G28" s="48" t="s">
        <v>22</v>
      </c>
      <c r="H28" s="48" t="s">
        <v>22</v>
      </c>
      <c r="I28" s="62" t="s">
        <v>22</v>
      </c>
      <c r="J28" s="76" t="s">
        <v>273</v>
      </c>
      <c r="K28" s="76" t="s">
        <v>31</v>
      </c>
      <c r="L28" s="67">
        <v>-0.63</v>
      </c>
      <c r="M28" s="48" t="s">
        <v>22</v>
      </c>
      <c r="N28" s="66">
        <v>0.95</v>
      </c>
      <c r="O28" s="48" t="s">
        <v>37</v>
      </c>
      <c r="P28" s="77" t="s">
        <v>288</v>
      </c>
      <c r="Q28" s="101" t="s">
        <v>487</v>
      </c>
      <c r="R28" s="48">
        <v>3</v>
      </c>
      <c r="S28" s="48">
        <v>52</v>
      </c>
      <c r="T28" s="48">
        <v>0</v>
      </c>
      <c r="U28" s="48" t="s">
        <v>355</v>
      </c>
      <c r="V28" s="77" t="s">
        <v>292</v>
      </c>
      <c r="AO28" t="e">
        <f>AVERAGE(#REF!,#REF!)</f>
        <v>#REF!</v>
      </c>
    </row>
    <row r="29" spans="1:41" ht="75" x14ac:dyDescent="0.25">
      <c r="A29" s="48">
        <v>168139</v>
      </c>
      <c r="B29" s="48" t="s">
        <v>230</v>
      </c>
      <c r="C29" s="48" t="s">
        <v>121</v>
      </c>
      <c r="D29" s="48"/>
      <c r="E29" s="48" t="s">
        <v>387</v>
      </c>
      <c r="F29" s="48" t="s">
        <v>22</v>
      </c>
      <c r="G29" s="48" t="s">
        <v>22</v>
      </c>
      <c r="H29" s="48" t="s">
        <v>22</v>
      </c>
      <c r="I29" s="62" t="s">
        <v>22</v>
      </c>
      <c r="J29" s="76" t="s">
        <v>273</v>
      </c>
      <c r="K29" s="76" t="s">
        <v>31</v>
      </c>
      <c r="L29" s="67">
        <v>4</v>
      </c>
      <c r="M29" s="49" t="s">
        <v>135</v>
      </c>
      <c r="N29" s="66">
        <v>0.74</v>
      </c>
      <c r="O29" s="48" t="s">
        <v>37</v>
      </c>
      <c r="P29" s="77" t="s">
        <v>288</v>
      </c>
      <c r="Q29" s="101" t="s">
        <v>526</v>
      </c>
      <c r="R29" s="48">
        <v>3</v>
      </c>
      <c r="S29" s="48">
        <v>40</v>
      </c>
      <c r="T29" s="48">
        <v>0</v>
      </c>
      <c r="U29" s="48" t="s">
        <v>356</v>
      </c>
      <c r="V29" s="77" t="s">
        <v>292</v>
      </c>
      <c r="AO29" t="e">
        <f>AVERAGE(#REF!,#REF!)</f>
        <v>#REF!</v>
      </c>
    </row>
    <row r="30" spans="1:41" ht="75" x14ac:dyDescent="0.25">
      <c r="A30" s="48">
        <v>168050</v>
      </c>
      <c r="B30" s="48" t="s">
        <v>231</v>
      </c>
      <c r="C30" s="48" t="s">
        <v>121</v>
      </c>
      <c r="D30" s="48" t="s">
        <v>284</v>
      </c>
      <c r="E30" s="48" t="s">
        <v>377</v>
      </c>
      <c r="F30" s="48" t="s">
        <v>22</v>
      </c>
      <c r="G30" s="48" t="s">
        <v>22</v>
      </c>
      <c r="H30" s="48" t="s">
        <v>22</v>
      </c>
      <c r="I30" s="62" t="s">
        <v>404</v>
      </c>
      <c r="J30" s="76" t="s">
        <v>274</v>
      </c>
      <c r="K30" s="76" t="s">
        <v>277</v>
      </c>
      <c r="L30" s="67">
        <v>22</v>
      </c>
      <c r="M30" s="48" t="s">
        <v>22</v>
      </c>
      <c r="N30" s="66">
        <v>0.91</v>
      </c>
      <c r="O30" s="48" t="s">
        <v>36</v>
      </c>
      <c r="P30" s="77" t="s">
        <v>288</v>
      </c>
      <c r="Q30" s="101" t="s">
        <v>494</v>
      </c>
      <c r="R30" s="48">
        <v>3</v>
      </c>
      <c r="S30" s="48">
        <v>42</v>
      </c>
      <c r="T30" s="48">
        <v>0</v>
      </c>
      <c r="U30" s="48" t="s">
        <v>357</v>
      </c>
      <c r="V30" s="77" t="s">
        <v>292</v>
      </c>
      <c r="AO30" t="e">
        <f>AVERAGE(#REF!,#REF!)</f>
        <v>#REF!</v>
      </c>
    </row>
    <row r="31" spans="1:41" ht="75" x14ac:dyDescent="0.25">
      <c r="A31" s="48">
        <v>168154</v>
      </c>
      <c r="B31" s="48" t="s">
        <v>232</v>
      </c>
      <c r="C31" s="48" t="s">
        <v>121</v>
      </c>
      <c r="D31" s="48" t="s">
        <v>120</v>
      </c>
      <c r="E31" s="48" t="s">
        <v>382</v>
      </c>
      <c r="F31" s="48" t="s">
        <v>45</v>
      </c>
      <c r="G31" s="48" t="s">
        <v>45</v>
      </c>
      <c r="H31" s="48" t="s">
        <v>45</v>
      </c>
      <c r="I31" s="62" t="s">
        <v>406</v>
      </c>
      <c r="J31" s="76" t="s">
        <v>278</v>
      </c>
      <c r="K31" s="76" t="s">
        <v>31</v>
      </c>
      <c r="L31" s="67">
        <v>3.13</v>
      </c>
      <c r="M31" s="48" t="s">
        <v>45</v>
      </c>
      <c r="N31" s="48" t="s">
        <v>45</v>
      </c>
      <c r="O31" s="48" t="s">
        <v>37</v>
      </c>
      <c r="P31" s="48" t="s">
        <v>45</v>
      </c>
      <c r="Q31" s="77" t="s">
        <v>495</v>
      </c>
      <c r="R31" s="48">
        <v>4</v>
      </c>
      <c r="S31" s="48">
        <v>36</v>
      </c>
      <c r="T31" s="48">
        <v>0</v>
      </c>
      <c r="U31" s="48" t="s">
        <v>358</v>
      </c>
      <c r="V31" s="78" t="s">
        <v>45</v>
      </c>
      <c r="AO31" t="e">
        <f>AVERAGE(#REF!,#REF!)</f>
        <v>#REF!</v>
      </c>
    </row>
    <row r="32" spans="1:41" ht="75" x14ac:dyDescent="0.25">
      <c r="A32" s="48">
        <v>168121</v>
      </c>
      <c r="B32" s="48" t="s">
        <v>233</v>
      </c>
      <c r="C32" s="48" t="s">
        <v>121</v>
      </c>
      <c r="D32" s="48" t="s">
        <v>284</v>
      </c>
      <c r="E32" s="48" t="s">
        <v>378</v>
      </c>
      <c r="F32" s="48" t="s">
        <v>23</v>
      </c>
      <c r="G32" s="48" t="s">
        <v>22</v>
      </c>
      <c r="H32" s="48" t="s">
        <v>22</v>
      </c>
      <c r="I32" s="62" t="s">
        <v>403</v>
      </c>
      <c r="J32" s="76" t="s">
        <v>32</v>
      </c>
      <c r="K32" s="76" t="s">
        <v>32</v>
      </c>
      <c r="L32" s="67">
        <v>2.5</v>
      </c>
      <c r="M32" s="48" t="s">
        <v>22</v>
      </c>
      <c r="N32" s="66">
        <v>0.91</v>
      </c>
      <c r="O32" s="48" t="s">
        <v>37</v>
      </c>
      <c r="P32" s="49" t="s">
        <v>368</v>
      </c>
      <c r="Q32" s="101" t="s">
        <v>496</v>
      </c>
      <c r="R32" s="48">
        <v>3</v>
      </c>
      <c r="S32" s="48">
        <v>30</v>
      </c>
      <c r="T32" s="48">
        <v>0</v>
      </c>
      <c r="U32" s="48" t="s">
        <v>359</v>
      </c>
      <c r="V32" s="77" t="s">
        <v>292</v>
      </c>
      <c r="AO32" t="e">
        <f>AVERAGE(#REF!,#REF!)</f>
        <v>#REF!</v>
      </c>
    </row>
    <row r="33" spans="1:41" ht="75" x14ac:dyDescent="0.25">
      <c r="A33" s="48">
        <v>168099</v>
      </c>
      <c r="B33" s="48" t="s">
        <v>234</v>
      </c>
      <c r="C33" s="48" t="s">
        <v>121</v>
      </c>
      <c r="D33" s="48" t="s">
        <v>284</v>
      </c>
      <c r="E33" s="48" t="s">
        <v>388</v>
      </c>
      <c r="F33" s="48" t="s">
        <v>22</v>
      </c>
      <c r="G33" s="48" t="s">
        <v>22</v>
      </c>
      <c r="H33" s="48" t="s">
        <v>22</v>
      </c>
      <c r="I33" s="62" t="s">
        <v>22</v>
      </c>
      <c r="J33" s="76" t="s">
        <v>273</v>
      </c>
      <c r="K33" s="76" t="s">
        <v>31</v>
      </c>
      <c r="L33" s="67">
        <v>3.13</v>
      </c>
      <c r="M33" s="48" t="s">
        <v>22</v>
      </c>
      <c r="N33" s="66">
        <v>0.93</v>
      </c>
      <c r="O33" s="48" t="s">
        <v>37</v>
      </c>
      <c r="P33" s="77" t="s">
        <v>288</v>
      </c>
      <c r="Q33" s="101" t="s">
        <v>483</v>
      </c>
      <c r="R33" s="48">
        <v>4</v>
      </c>
      <c r="S33" s="48">
        <v>45</v>
      </c>
      <c r="T33" s="48">
        <v>0</v>
      </c>
      <c r="U33" s="48" t="s">
        <v>360</v>
      </c>
      <c r="V33" s="77" t="s">
        <v>292</v>
      </c>
      <c r="AO33" t="e">
        <f>AVERAGE(#REF!,#REF!)</f>
        <v>#REF!</v>
      </c>
    </row>
    <row r="34" spans="1:41" ht="75" x14ac:dyDescent="0.25">
      <c r="A34" s="48">
        <v>168138</v>
      </c>
      <c r="B34" s="48" t="s">
        <v>235</v>
      </c>
      <c r="C34" s="48" t="s">
        <v>121</v>
      </c>
      <c r="D34" s="48" t="s">
        <v>284</v>
      </c>
      <c r="E34" s="48" t="s">
        <v>378</v>
      </c>
      <c r="F34" s="48" t="s">
        <v>22</v>
      </c>
      <c r="G34" s="48" t="s">
        <v>22</v>
      </c>
      <c r="H34" s="48" t="s">
        <v>22</v>
      </c>
      <c r="I34" s="62" t="s">
        <v>403</v>
      </c>
      <c r="J34" s="76" t="s">
        <v>32</v>
      </c>
      <c r="K34" s="76" t="s">
        <v>32</v>
      </c>
      <c r="L34" s="67">
        <v>1</v>
      </c>
      <c r="M34" s="48" t="s">
        <v>22</v>
      </c>
      <c r="N34" s="66">
        <v>0.82</v>
      </c>
      <c r="O34" s="48" t="s">
        <v>36</v>
      </c>
      <c r="P34" s="77" t="s">
        <v>288</v>
      </c>
      <c r="Q34" s="101" t="s">
        <v>479</v>
      </c>
      <c r="R34" s="48">
        <v>2</v>
      </c>
      <c r="S34" s="48">
        <v>40</v>
      </c>
      <c r="T34" s="48">
        <v>0</v>
      </c>
      <c r="U34" s="48" t="s">
        <v>361</v>
      </c>
      <c r="V34" s="77" t="s">
        <v>292</v>
      </c>
      <c r="AO34" t="e">
        <f>AVERAGE(#REF!,#REF!)</f>
        <v>#REF!</v>
      </c>
    </row>
    <row r="35" spans="1:41" ht="75" x14ac:dyDescent="0.25">
      <c r="A35" s="48">
        <v>168150</v>
      </c>
      <c r="B35" s="48" t="s">
        <v>236</v>
      </c>
      <c r="C35" s="48" t="s">
        <v>121</v>
      </c>
      <c r="D35" s="48" t="s">
        <v>283</v>
      </c>
      <c r="E35" s="48" t="s">
        <v>378</v>
      </c>
      <c r="F35" s="48" t="s">
        <v>22</v>
      </c>
      <c r="G35" s="48" t="s">
        <v>22</v>
      </c>
      <c r="H35" s="48" t="s">
        <v>22</v>
      </c>
      <c r="I35" s="62" t="s">
        <v>403</v>
      </c>
      <c r="J35" s="76" t="s">
        <v>32</v>
      </c>
      <c r="K35" s="76" t="s">
        <v>32</v>
      </c>
      <c r="L35" s="67">
        <v>6.13</v>
      </c>
      <c r="M35" s="48" t="s">
        <v>22</v>
      </c>
      <c r="N35" s="66">
        <v>0.99</v>
      </c>
      <c r="O35" s="48" t="s">
        <v>37</v>
      </c>
      <c r="P35" s="77" t="s">
        <v>288</v>
      </c>
      <c r="Q35" s="101" t="s">
        <v>483</v>
      </c>
      <c r="R35" s="48">
        <v>4</v>
      </c>
      <c r="S35" s="48">
        <v>40</v>
      </c>
      <c r="T35" s="48">
        <v>0</v>
      </c>
      <c r="U35" s="48" t="s">
        <v>362</v>
      </c>
      <c r="V35" s="77" t="s">
        <v>292</v>
      </c>
      <c r="AO35" t="e">
        <f>AVERAGE(#REF!,#REF!)</f>
        <v>#REF!</v>
      </c>
    </row>
    <row r="36" spans="1:41" ht="90" x14ac:dyDescent="0.25">
      <c r="A36" s="48">
        <v>168152</v>
      </c>
      <c r="B36" s="48" t="s">
        <v>237</v>
      </c>
      <c r="C36" s="48" t="s">
        <v>121</v>
      </c>
      <c r="D36" s="48" t="s">
        <v>283</v>
      </c>
      <c r="E36" s="48" t="s">
        <v>377</v>
      </c>
      <c r="F36" s="48" t="s">
        <v>22</v>
      </c>
      <c r="G36" s="48" t="s">
        <v>22</v>
      </c>
      <c r="H36" s="48" t="s">
        <v>22</v>
      </c>
      <c r="I36" s="62" t="s">
        <v>404</v>
      </c>
      <c r="J36" s="76" t="s">
        <v>273</v>
      </c>
      <c r="K36" s="76" t="s">
        <v>276</v>
      </c>
      <c r="L36" s="67">
        <v>6.63</v>
      </c>
      <c r="M36" s="49" t="s">
        <v>135</v>
      </c>
      <c r="N36" s="66">
        <v>0.71</v>
      </c>
      <c r="O36" s="48" t="s">
        <v>37</v>
      </c>
      <c r="P36" s="49" t="s">
        <v>368</v>
      </c>
      <c r="Q36" s="77" t="s">
        <v>514</v>
      </c>
      <c r="R36" s="48">
        <v>7</v>
      </c>
      <c r="S36" s="48">
        <v>38</v>
      </c>
      <c r="T36" s="48">
        <v>2</v>
      </c>
      <c r="U36" s="48" t="s">
        <v>363</v>
      </c>
      <c r="V36" s="77" t="s">
        <v>292</v>
      </c>
      <c r="AO36" t="e">
        <f>AVERAGE(#REF!,#REF!)</f>
        <v>#REF!</v>
      </c>
    </row>
    <row r="37" spans="1:41" ht="90" x14ac:dyDescent="0.25">
      <c r="A37" s="48">
        <v>168045</v>
      </c>
      <c r="B37" s="48" t="s">
        <v>238</v>
      </c>
      <c r="C37" s="48" t="s">
        <v>121</v>
      </c>
      <c r="D37" s="48" t="s">
        <v>285</v>
      </c>
      <c r="E37" s="48" t="s">
        <v>389</v>
      </c>
      <c r="F37" s="48" t="s">
        <v>23</v>
      </c>
      <c r="G37" s="48" t="s">
        <v>22</v>
      </c>
      <c r="H37" s="48" t="s">
        <v>22</v>
      </c>
      <c r="I37" s="62" t="s">
        <v>403</v>
      </c>
      <c r="J37" s="76" t="s">
        <v>32</v>
      </c>
      <c r="K37" s="76" t="s">
        <v>31</v>
      </c>
      <c r="L37" s="67">
        <v>1</v>
      </c>
      <c r="M37" s="48" t="s">
        <v>22</v>
      </c>
      <c r="N37" s="66">
        <v>0.95</v>
      </c>
      <c r="O37" s="48" t="s">
        <v>37</v>
      </c>
      <c r="P37" s="77" t="s">
        <v>288</v>
      </c>
      <c r="Q37" s="101" t="s">
        <v>507</v>
      </c>
      <c r="R37" s="48">
        <v>4</v>
      </c>
      <c r="S37" s="48">
        <v>34</v>
      </c>
      <c r="T37" s="48">
        <v>0</v>
      </c>
      <c r="U37" s="48" t="s">
        <v>364</v>
      </c>
      <c r="V37" s="77" t="s">
        <v>292</v>
      </c>
      <c r="AO37" t="e">
        <f>AVERAGE(#REF!,#REF!)</f>
        <v>#REF!</v>
      </c>
    </row>
    <row r="38" spans="1:41" ht="90" x14ac:dyDescent="0.25">
      <c r="A38" s="48">
        <v>168116</v>
      </c>
      <c r="B38" s="48" t="s">
        <v>239</v>
      </c>
      <c r="C38" s="48" t="s">
        <v>121</v>
      </c>
      <c r="D38" s="48" t="s">
        <v>284</v>
      </c>
      <c r="E38" s="48" t="s">
        <v>390</v>
      </c>
      <c r="F38" s="48" t="s">
        <v>123</v>
      </c>
      <c r="G38" s="48" t="s">
        <v>22</v>
      </c>
      <c r="H38" s="101" t="s">
        <v>28</v>
      </c>
      <c r="I38" s="62" t="s">
        <v>22</v>
      </c>
      <c r="J38" s="76" t="s">
        <v>273</v>
      </c>
      <c r="K38" s="76" t="s">
        <v>31</v>
      </c>
      <c r="L38" s="67">
        <v>9.1300000000000008</v>
      </c>
      <c r="M38" s="49" t="s">
        <v>135</v>
      </c>
      <c r="N38" s="66">
        <v>0.7</v>
      </c>
      <c r="O38" s="48" t="s">
        <v>37</v>
      </c>
      <c r="P38" s="77" t="s">
        <v>288</v>
      </c>
      <c r="Q38" s="101" t="s">
        <v>497</v>
      </c>
      <c r="R38" s="48">
        <v>5</v>
      </c>
      <c r="S38" s="48">
        <v>40</v>
      </c>
      <c r="T38" s="48">
        <v>1</v>
      </c>
      <c r="U38" s="48" t="s">
        <v>365</v>
      </c>
      <c r="V38" s="77" t="s">
        <v>292</v>
      </c>
      <c r="AO38" t="e">
        <f>AVERAGE(#REF!,#REF!)</f>
        <v>#REF!</v>
      </c>
    </row>
    <row r="39" spans="1:41" ht="75" x14ac:dyDescent="0.25">
      <c r="A39" s="48">
        <v>168137</v>
      </c>
      <c r="B39" s="48" t="s">
        <v>240</v>
      </c>
      <c r="C39" s="48" t="s">
        <v>121</v>
      </c>
      <c r="D39" s="48" t="s">
        <v>284</v>
      </c>
      <c r="E39" s="48" t="s">
        <v>377</v>
      </c>
      <c r="F39" s="48" t="s">
        <v>123</v>
      </c>
      <c r="G39" s="48" t="s">
        <v>22</v>
      </c>
      <c r="H39" s="48" t="s">
        <v>22</v>
      </c>
      <c r="I39" s="62" t="s">
        <v>22</v>
      </c>
      <c r="J39" s="76" t="s">
        <v>273</v>
      </c>
      <c r="K39" s="76" t="s">
        <v>31</v>
      </c>
      <c r="L39" s="67">
        <v>2.5</v>
      </c>
      <c r="M39" s="48" t="s">
        <v>22</v>
      </c>
      <c r="N39" s="66">
        <v>0.92</v>
      </c>
      <c r="O39" s="48" t="s">
        <v>36</v>
      </c>
      <c r="P39" s="77" t="s">
        <v>288</v>
      </c>
      <c r="Q39" s="101" t="s">
        <v>483</v>
      </c>
      <c r="R39" s="48">
        <v>3</v>
      </c>
      <c r="S39" s="48">
        <v>42</v>
      </c>
      <c r="T39" s="48">
        <v>0</v>
      </c>
      <c r="U39" s="48" t="s">
        <v>366</v>
      </c>
      <c r="V39" s="77" t="s">
        <v>292</v>
      </c>
      <c r="AO39" t="e">
        <f>AVERAGE(#REF!,#REF!)</f>
        <v>#REF!</v>
      </c>
    </row>
    <row r="40" spans="1:41" ht="75" x14ac:dyDescent="0.25">
      <c r="A40" s="48">
        <v>168051</v>
      </c>
      <c r="B40" s="48" t="s">
        <v>241</v>
      </c>
      <c r="C40" s="48" t="s">
        <v>121</v>
      </c>
      <c r="D40" s="48" t="s">
        <v>284</v>
      </c>
      <c r="E40" s="48" t="s">
        <v>377</v>
      </c>
      <c r="F40" s="48" t="s">
        <v>24</v>
      </c>
      <c r="G40" s="48" t="s">
        <v>22</v>
      </c>
      <c r="H40" s="48" t="s">
        <v>22</v>
      </c>
      <c r="I40" s="62" t="s">
        <v>22</v>
      </c>
      <c r="J40" s="76" t="s">
        <v>273</v>
      </c>
      <c r="K40" s="76" t="s">
        <v>31</v>
      </c>
      <c r="L40" s="67">
        <v>3.25</v>
      </c>
      <c r="M40" s="48" t="s">
        <v>22</v>
      </c>
      <c r="N40" s="66">
        <v>1.04</v>
      </c>
      <c r="O40" s="48" t="s">
        <v>36</v>
      </c>
      <c r="P40" s="77" t="s">
        <v>288</v>
      </c>
      <c r="Q40" s="49" t="s">
        <v>498</v>
      </c>
      <c r="R40" s="48">
        <v>4</v>
      </c>
      <c r="S40" s="48">
        <v>40</v>
      </c>
      <c r="T40" s="48">
        <v>0</v>
      </c>
      <c r="U40" s="48" t="s">
        <v>367</v>
      </c>
      <c r="V40" s="77" t="s">
        <v>292</v>
      </c>
      <c r="AO40" t="e">
        <f>AVERAGE(#REF!,#REF!)</f>
        <v>#REF!</v>
      </c>
    </row>
    <row r="41" spans="1:41" ht="75" x14ac:dyDescent="0.25">
      <c r="A41" s="48">
        <v>168134</v>
      </c>
      <c r="B41" s="48" t="s">
        <v>242</v>
      </c>
      <c r="C41" s="48" t="s">
        <v>121</v>
      </c>
      <c r="D41" s="48" t="s">
        <v>285</v>
      </c>
      <c r="E41" s="48" t="s">
        <v>372</v>
      </c>
      <c r="F41" s="48" t="s">
        <v>22</v>
      </c>
      <c r="G41" s="48" t="s">
        <v>22</v>
      </c>
      <c r="H41" s="48" t="s">
        <v>22</v>
      </c>
      <c r="I41" s="62" t="s">
        <v>404</v>
      </c>
      <c r="J41" s="76" t="s">
        <v>32</v>
      </c>
      <c r="K41" s="76" t="s">
        <v>276</v>
      </c>
      <c r="L41" s="67">
        <v>5.25</v>
      </c>
      <c r="M41" s="48" t="s">
        <v>22</v>
      </c>
      <c r="N41" s="66">
        <v>0.84</v>
      </c>
      <c r="O41" s="48" t="s">
        <v>36</v>
      </c>
      <c r="P41" s="77" t="s">
        <v>288</v>
      </c>
      <c r="Q41" s="77" t="s">
        <v>489</v>
      </c>
      <c r="R41" s="48">
        <v>5</v>
      </c>
      <c r="S41" s="48">
        <v>38</v>
      </c>
      <c r="T41" s="48">
        <v>0</v>
      </c>
      <c r="U41" s="48" t="s">
        <v>293</v>
      </c>
      <c r="V41" s="77" t="s">
        <v>292</v>
      </c>
      <c r="AO41" t="e">
        <f>AVERAGE(#REF!,#REF!)</f>
        <v>#REF!</v>
      </c>
    </row>
    <row r="42" spans="1:41" ht="75" x14ac:dyDescent="0.25">
      <c r="A42" s="48">
        <v>168024</v>
      </c>
      <c r="B42" s="48" t="s">
        <v>243</v>
      </c>
      <c r="C42" s="48" t="s">
        <v>121</v>
      </c>
      <c r="D42" s="48" t="s">
        <v>283</v>
      </c>
      <c r="E42" s="48" t="s">
        <v>373</v>
      </c>
      <c r="F42" s="48" t="s">
        <v>22</v>
      </c>
      <c r="G42" s="48" t="s">
        <v>22</v>
      </c>
      <c r="H42" s="48" t="s">
        <v>22</v>
      </c>
      <c r="I42" s="62" t="s">
        <v>405</v>
      </c>
      <c r="J42" s="76" t="s">
        <v>279</v>
      </c>
      <c r="K42" s="76" t="s">
        <v>32</v>
      </c>
      <c r="L42" s="67">
        <v>2.5</v>
      </c>
      <c r="M42" s="48" t="s">
        <v>22</v>
      </c>
      <c r="N42" s="66">
        <v>0.81</v>
      </c>
      <c r="O42" s="48" t="s">
        <v>37</v>
      </c>
      <c r="P42" s="77" t="s">
        <v>288</v>
      </c>
      <c r="Q42" s="101" t="s">
        <v>499</v>
      </c>
      <c r="R42" s="48">
        <v>4</v>
      </c>
      <c r="S42" s="48">
        <v>36</v>
      </c>
      <c r="T42" s="48">
        <v>0</v>
      </c>
      <c r="U42" s="48" t="s">
        <v>294</v>
      </c>
      <c r="V42" s="77" t="s">
        <v>292</v>
      </c>
      <c r="AO42" t="e">
        <f>AVERAGE(#REF!,#REF!)</f>
        <v>#REF!</v>
      </c>
    </row>
    <row r="43" spans="1:41" ht="75" x14ac:dyDescent="0.25">
      <c r="A43" s="48">
        <v>168044</v>
      </c>
      <c r="B43" s="48" t="s">
        <v>244</v>
      </c>
      <c r="C43" s="48" t="s">
        <v>121</v>
      </c>
      <c r="D43" s="48" t="s">
        <v>283</v>
      </c>
      <c r="E43" s="48" t="s">
        <v>373</v>
      </c>
      <c r="F43" s="48" t="s">
        <v>22</v>
      </c>
      <c r="G43" s="48" t="s">
        <v>22</v>
      </c>
      <c r="H43" s="48" t="s">
        <v>22</v>
      </c>
      <c r="I43" s="62" t="s">
        <v>403</v>
      </c>
      <c r="J43" s="76" t="s">
        <v>32</v>
      </c>
      <c r="K43" s="76" t="s">
        <v>32</v>
      </c>
      <c r="L43" s="67">
        <v>8.25</v>
      </c>
      <c r="M43" s="49" t="s">
        <v>135</v>
      </c>
      <c r="N43" s="66">
        <v>0.76</v>
      </c>
      <c r="O43" s="48" t="s">
        <v>36</v>
      </c>
      <c r="P43" s="77" t="s">
        <v>288</v>
      </c>
      <c r="Q43" s="101" t="s">
        <v>500</v>
      </c>
      <c r="R43" s="48">
        <v>4</v>
      </c>
      <c r="S43" s="48">
        <v>38</v>
      </c>
      <c r="T43" s="48">
        <v>2</v>
      </c>
      <c r="U43" s="48" t="s">
        <v>295</v>
      </c>
      <c r="V43" s="77" t="s">
        <v>292</v>
      </c>
      <c r="AO43" t="e">
        <f>AVERAGE(#REF!,#REF!)</f>
        <v>#REF!</v>
      </c>
    </row>
    <row r="44" spans="1:41" ht="75" x14ac:dyDescent="0.25">
      <c r="A44" s="48">
        <v>168013</v>
      </c>
      <c r="B44" s="48" t="s">
        <v>245</v>
      </c>
      <c r="C44" s="48" t="s">
        <v>121</v>
      </c>
      <c r="D44" s="48" t="s">
        <v>283</v>
      </c>
      <c r="E44" s="48" t="s">
        <v>378</v>
      </c>
      <c r="F44" s="48" t="s">
        <v>123</v>
      </c>
      <c r="G44" s="48" t="s">
        <v>22</v>
      </c>
      <c r="H44" s="48" t="s">
        <v>22</v>
      </c>
      <c r="I44" s="62" t="s">
        <v>404</v>
      </c>
      <c r="J44" s="76" t="s">
        <v>274</v>
      </c>
      <c r="K44" s="76" t="s">
        <v>31</v>
      </c>
      <c r="L44" s="67">
        <v>6.38</v>
      </c>
      <c r="M44" s="48" t="s">
        <v>22</v>
      </c>
      <c r="N44" s="66">
        <v>1</v>
      </c>
      <c r="O44" s="48" t="s">
        <v>36</v>
      </c>
      <c r="P44" s="49" t="s">
        <v>368</v>
      </c>
      <c r="Q44" s="49" t="s">
        <v>501</v>
      </c>
      <c r="R44" s="48">
        <v>3</v>
      </c>
      <c r="S44" s="48">
        <v>45</v>
      </c>
      <c r="T44" s="48">
        <v>0</v>
      </c>
      <c r="U44" s="48" t="s">
        <v>329</v>
      </c>
      <c r="V44" s="77" t="s">
        <v>292</v>
      </c>
      <c r="AO44" t="e">
        <f>AVERAGE(#REF!,#REF!)</f>
        <v>#REF!</v>
      </c>
    </row>
    <row r="45" spans="1:41" ht="75" x14ac:dyDescent="0.25">
      <c r="A45" s="48">
        <v>168012</v>
      </c>
      <c r="B45" s="48" t="s">
        <v>246</v>
      </c>
      <c r="C45" s="48" t="s">
        <v>121</v>
      </c>
      <c r="D45" s="48" t="s">
        <v>283</v>
      </c>
      <c r="E45" s="48" t="s">
        <v>391</v>
      </c>
      <c r="F45" s="48" t="s">
        <v>123</v>
      </c>
      <c r="G45" s="48" t="s">
        <v>22</v>
      </c>
      <c r="H45" s="48" t="s">
        <v>22</v>
      </c>
      <c r="I45" s="62" t="s">
        <v>403</v>
      </c>
      <c r="J45" s="76" t="s">
        <v>273</v>
      </c>
      <c r="K45" s="76" t="s">
        <v>32</v>
      </c>
      <c r="L45" s="67">
        <v>2.13</v>
      </c>
      <c r="M45" s="48" t="s">
        <v>22</v>
      </c>
      <c r="N45" s="66">
        <v>0.94</v>
      </c>
      <c r="O45" s="48" t="s">
        <v>37</v>
      </c>
      <c r="P45" s="77" t="s">
        <v>288</v>
      </c>
      <c r="Q45" s="49" t="s">
        <v>502</v>
      </c>
      <c r="R45" s="48">
        <v>4</v>
      </c>
      <c r="S45" s="48">
        <v>48</v>
      </c>
      <c r="T45" s="48">
        <v>0</v>
      </c>
      <c r="U45" s="48" t="s">
        <v>296</v>
      </c>
      <c r="V45" s="77" t="s">
        <v>292</v>
      </c>
      <c r="AO45" t="e">
        <f>AVERAGE(#REF!,#REF!)</f>
        <v>#REF!</v>
      </c>
    </row>
    <row r="46" spans="1:41" ht="75" x14ac:dyDescent="0.25">
      <c r="A46" s="48">
        <v>168065</v>
      </c>
      <c r="B46" s="48" t="s">
        <v>247</v>
      </c>
      <c r="C46" s="48" t="s">
        <v>121</v>
      </c>
      <c r="D46" s="48" t="s">
        <v>286</v>
      </c>
      <c r="E46" s="48" t="s">
        <v>378</v>
      </c>
      <c r="F46" s="48" t="s">
        <v>123</v>
      </c>
      <c r="G46" s="48" t="s">
        <v>22</v>
      </c>
      <c r="H46" s="48" t="s">
        <v>22</v>
      </c>
      <c r="I46" s="62" t="s">
        <v>403</v>
      </c>
      <c r="J46" s="76" t="s">
        <v>32</v>
      </c>
      <c r="K46" s="76" t="s">
        <v>32</v>
      </c>
      <c r="L46" s="67">
        <v>8.1300000000000008</v>
      </c>
      <c r="M46" s="48" t="s">
        <v>22</v>
      </c>
      <c r="N46" s="66">
        <v>0.93</v>
      </c>
      <c r="O46" s="48" t="s">
        <v>37</v>
      </c>
      <c r="P46" s="77" t="s">
        <v>288</v>
      </c>
      <c r="Q46" s="77" t="s">
        <v>515</v>
      </c>
      <c r="R46" s="48">
        <v>3</v>
      </c>
      <c r="S46" s="48">
        <v>34</v>
      </c>
      <c r="T46" s="48">
        <v>0</v>
      </c>
      <c r="U46" s="48" t="s">
        <v>298</v>
      </c>
      <c r="V46" s="77" t="s">
        <v>292</v>
      </c>
      <c r="AO46" t="e">
        <f>AVERAGE(#REF!,#REF!)</f>
        <v>#REF!</v>
      </c>
    </row>
    <row r="47" spans="1:41" ht="120" x14ac:dyDescent="0.25">
      <c r="A47" s="48">
        <v>168142</v>
      </c>
      <c r="B47" s="48" t="s">
        <v>248</v>
      </c>
      <c r="C47" s="48" t="s">
        <v>121</v>
      </c>
      <c r="D47" s="48" t="s">
        <v>120</v>
      </c>
      <c r="E47" s="48" t="s">
        <v>392</v>
      </c>
      <c r="F47" s="48" t="s">
        <v>22</v>
      </c>
      <c r="G47" s="48" t="s">
        <v>22</v>
      </c>
      <c r="H47" s="101" t="s">
        <v>471</v>
      </c>
      <c r="I47" s="62" t="s">
        <v>22</v>
      </c>
      <c r="J47" s="76" t="s">
        <v>273</v>
      </c>
      <c r="K47" s="76" t="s">
        <v>31</v>
      </c>
      <c r="L47" s="67">
        <v>4.38</v>
      </c>
      <c r="M47" s="48" t="s">
        <v>22</v>
      </c>
      <c r="N47" s="66">
        <v>0.9</v>
      </c>
      <c r="O47" s="48" t="s">
        <v>37</v>
      </c>
      <c r="P47" s="77" t="s">
        <v>288</v>
      </c>
      <c r="Q47" s="101" t="s">
        <v>479</v>
      </c>
      <c r="R47" s="48">
        <v>6</v>
      </c>
      <c r="S47" s="48">
        <v>44</v>
      </c>
      <c r="T47" s="48">
        <v>1.4</v>
      </c>
      <c r="U47" s="48" t="s">
        <v>299</v>
      </c>
      <c r="V47" s="77" t="s">
        <v>292</v>
      </c>
      <c r="AO47" t="e">
        <f>AVERAGE(#REF!,#REF!)</f>
        <v>#REF!</v>
      </c>
    </row>
    <row r="48" spans="1:41" ht="75" x14ac:dyDescent="0.25">
      <c r="A48" s="48">
        <v>168042</v>
      </c>
      <c r="B48" s="48" t="s">
        <v>249</v>
      </c>
      <c r="C48" s="48" t="s">
        <v>121</v>
      </c>
      <c r="D48" s="48" t="s">
        <v>284</v>
      </c>
      <c r="E48" s="48" t="s">
        <v>393</v>
      </c>
      <c r="F48" s="48" t="s">
        <v>22</v>
      </c>
      <c r="G48" s="48" t="s">
        <v>22</v>
      </c>
      <c r="H48" s="48" t="s">
        <v>22</v>
      </c>
      <c r="I48" s="62" t="s">
        <v>403</v>
      </c>
      <c r="J48" s="76" t="s">
        <v>273</v>
      </c>
      <c r="K48" s="76" t="s">
        <v>32</v>
      </c>
      <c r="L48" s="67">
        <v>6.25</v>
      </c>
      <c r="M48" s="48" t="s">
        <v>22</v>
      </c>
      <c r="N48" s="66">
        <v>0.92</v>
      </c>
      <c r="O48" s="48" t="s">
        <v>37</v>
      </c>
      <c r="P48" s="77" t="s">
        <v>288</v>
      </c>
      <c r="Q48" s="49" t="s">
        <v>503</v>
      </c>
      <c r="R48" s="48">
        <v>3</v>
      </c>
      <c r="S48" s="48">
        <v>32</v>
      </c>
      <c r="T48" s="48">
        <v>0</v>
      </c>
      <c r="U48" s="48" t="s">
        <v>301</v>
      </c>
      <c r="V48" s="77" t="s">
        <v>292</v>
      </c>
      <c r="AO48" t="e">
        <f>AVERAGE(#REF!,#REF!)</f>
        <v>#REF!</v>
      </c>
    </row>
    <row r="49" spans="1:41" ht="105" x14ac:dyDescent="0.25">
      <c r="A49" s="48">
        <v>168052</v>
      </c>
      <c r="B49" s="48" t="s">
        <v>250</v>
      </c>
      <c r="C49" s="48" t="s">
        <v>121</v>
      </c>
      <c r="D49" s="48" t="s">
        <v>284</v>
      </c>
      <c r="E49" s="48" t="s">
        <v>394</v>
      </c>
      <c r="F49" s="48" t="s">
        <v>22</v>
      </c>
      <c r="G49" s="48" t="s">
        <v>22</v>
      </c>
      <c r="H49" s="48" t="s">
        <v>22</v>
      </c>
      <c r="I49" s="62" t="s">
        <v>403</v>
      </c>
      <c r="J49" s="76" t="s">
        <v>32</v>
      </c>
      <c r="K49" s="76" t="s">
        <v>31</v>
      </c>
      <c r="L49" s="67">
        <v>6.38</v>
      </c>
      <c r="M49" s="48" t="s">
        <v>22</v>
      </c>
      <c r="N49" s="66">
        <v>0.98</v>
      </c>
      <c r="O49" s="48" t="s">
        <v>36</v>
      </c>
      <c r="P49" s="77" t="s">
        <v>288</v>
      </c>
      <c r="Q49" s="49" t="s">
        <v>504</v>
      </c>
      <c r="R49" s="48">
        <v>5</v>
      </c>
      <c r="S49" s="48">
        <v>32</v>
      </c>
      <c r="T49" s="48">
        <v>1.4</v>
      </c>
      <c r="U49" s="48" t="s">
        <v>302</v>
      </c>
      <c r="V49" s="77" t="s">
        <v>292</v>
      </c>
      <c r="AO49" t="e">
        <f>AVERAGE(#REF!,#REF!)</f>
        <v>#REF!</v>
      </c>
    </row>
    <row r="50" spans="1:41" ht="90" x14ac:dyDescent="0.25">
      <c r="A50" s="48">
        <v>168176</v>
      </c>
      <c r="B50" s="48" t="s">
        <v>251</v>
      </c>
      <c r="C50" s="48" t="s">
        <v>121</v>
      </c>
      <c r="D50" s="48" t="s">
        <v>286</v>
      </c>
      <c r="E50" s="48" t="s">
        <v>395</v>
      </c>
      <c r="F50" s="48" t="s">
        <v>22</v>
      </c>
      <c r="G50" s="48" t="s">
        <v>22</v>
      </c>
      <c r="H50" s="48" t="s">
        <v>22</v>
      </c>
      <c r="I50" s="62" t="s">
        <v>404</v>
      </c>
      <c r="J50" s="76" t="s">
        <v>274</v>
      </c>
      <c r="K50" s="76" t="s">
        <v>276</v>
      </c>
      <c r="L50" s="67">
        <v>13.5</v>
      </c>
      <c r="M50" s="48" t="s">
        <v>22</v>
      </c>
      <c r="N50" s="66">
        <v>0.9</v>
      </c>
      <c r="O50" s="48" t="s">
        <v>37</v>
      </c>
      <c r="P50" s="77" t="s">
        <v>288</v>
      </c>
      <c r="Q50" s="49" t="s">
        <v>501</v>
      </c>
      <c r="R50" s="48">
        <v>5</v>
      </c>
      <c r="S50" s="48">
        <v>30</v>
      </c>
      <c r="T50" s="48">
        <v>0</v>
      </c>
      <c r="U50" s="48" t="s">
        <v>303</v>
      </c>
      <c r="V50" s="77" t="s">
        <v>292</v>
      </c>
      <c r="AO50" t="e">
        <f>AVERAGE(#REF!,#REF!)</f>
        <v>#REF!</v>
      </c>
    </row>
    <row r="51" spans="1:41" ht="75" x14ac:dyDescent="0.25">
      <c r="A51" s="48">
        <v>168068</v>
      </c>
      <c r="B51" s="48" t="s">
        <v>252</v>
      </c>
      <c r="C51" s="48" t="s">
        <v>121</v>
      </c>
      <c r="D51" s="48" t="s">
        <v>286</v>
      </c>
      <c r="E51" s="48" t="s">
        <v>396</v>
      </c>
      <c r="F51" s="48" t="s">
        <v>123</v>
      </c>
      <c r="G51" s="48" t="s">
        <v>22</v>
      </c>
      <c r="H51" s="48" t="s">
        <v>22</v>
      </c>
      <c r="I51" s="62" t="s">
        <v>22</v>
      </c>
      <c r="J51" s="76" t="s">
        <v>273</v>
      </c>
      <c r="K51" s="76" t="s">
        <v>31</v>
      </c>
      <c r="L51" s="67">
        <v>5.25</v>
      </c>
      <c r="M51" s="48" t="s">
        <v>22</v>
      </c>
      <c r="N51" s="66">
        <v>0.82</v>
      </c>
      <c r="O51" s="48" t="s">
        <v>37</v>
      </c>
      <c r="P51" s="77" t="s">
        <v>288</v>
      </c>
      <c r="Q51" s="49" t="s">
        <v>505</v>
      </c>
      <c r="R51" s="48">
        <v>5</v>
      </c>
      <c r="S51" s="48">
        <v>30</v>
      </c>
      <c r="T51" s="48">
        <v>0</v>
      </c>
      <c r="U51" s="48" t="s">
        <v>304</v>
      </c>
      <c r="V51" s="77" t="s">
        <v>292</v>
      </c>
      <c r="AO51" t="e">
        <f>AVERAGE(#REF!,#REF!)</f>
        <v>#REF!</v>
      </c>
    </row>
    <row r="52" spans="1:41" ht="75" x14ac:dyDescent="0.25">
      <c r="A52" s="48">
        <v>168020</v>
      </c>
      <c r="B52" s="48" t="s">
        <v>253</v>
      </c>
      <c r="C52" s="48" t="s">
        <v>190</v>
      </c>
      <c r="D52" s="48" t="s">
        <v>397</v>
      </c>
      <c r="E52" s="48" t="s">
        <v>380</v>
      </c>
      <c r="F52" s="48" t="s">
        <v>22</v>
      </c>
      <c r="G52" s="48" t="s">
        <v>22</v>
      </c>
      <c r="H52" s="48" t="s">
        <v>22</v>
      </c>
      <c r="I52" s="62" t="s">
        <v>22</v>
      </c>
      <c r="J52" s="76" t="s">
        <v>273</v>
      </c>
      <c r="K52" s="76" t="s">
        <v>31</v>
      </c>
      <c r="L52" s="67">
        <v>2.13</v>
      </c>
      <c r="M52" s="49" t="s">
        <v>135</v>
      </c>
      <c r="N52" s="66">
        <v>0.7</v>
      </c>
      <c r="O52" s="48" t="s">
        <v>37</v>
      </c>
      <c r="P52" s="49" t="s">
        <v>368</v>
      </c>
      <c r="Q52" s="101" t="s">
        <v>479</v>
      </c>
      <c r="R52" s="48">
        <v>5</v>
      </c>
      <c r="S52" s="48">
        <v>48</v>
      </c>
      <c r="T52" s="48">
        <v>0</v>
      </c>
      <c r="U52" s="48" t="s">
        <v>305</v>
      </c>
      <c r="V52" s="77" t="s">
        <v>292</v>
      </c>
      <c r="AO52" t="e">
        <f>AVERAGE(#REF!,#REF!)</f>
        <v>#REF!</v>
      </c>
    </row>
    <row r="53" spans="1:41" ht="75" x14ac:dyDescent="0.25">
      <c r="A53" s="48">
        <v>168096</v>
      </c>
      <c r="B53" s="48" t="s">
        <v>254</v>
      </c>
      <c r="C53" s="48" t="s">
        <v>121</v>
      </c>
      <c r="D53" s="48" t="s">
        <v>284</v>
      </c>
      <c r="E53" s="48" t="s">
        <v>377</v>
      </c>
      <c r="F53" s="48" t="s">
        <v>123</v>
      </c>
      <c r="G53" s="48" t="s">
        <v>22</v>
      </c>
      <c r="H53" s="48" t="s">
        <v>22</v>
      </c>
      <c r="I53" s="62" t="s">
        <v>22</v>
      </c>
      <c r="J53" s="76" t="s">
        <v>273</v>
      </c>
      <c r="K53" s="76" t="s">
        <v>31</v>
      </c>
      <c r="L53" s="67">
        <v>-3.25</v>
      </c>
      <c r="M53" s="48" t="s">
        <v>22</v>
      </c>
      <c r="N53" s="66">
        <v>0.95</v>
      </c>
      <c r="O53" s="48" t="s">
        <v>37</v>
      </c>
      <c r="P53" s="77" t="s">
        <v>288</v>
      </c>
      <c r="Q53" s="49" t="s">
        <v>508</v>
      </c>
      <c r="R53" s="48">
        <v>4</v>
      </c>
      <c r="S53" s="48">
        <v>26</v>
      </c>
      <c r="T53" s="48">
        <v>0</v>
      </c>
      <c r="U53" s="48" t="s">
        <v>306</v>
      </c>
      <c r="V53" s="49" t="s">
        <v>307</v>
      </c>
      <c r="AO53" t="e">
        <f>AVERAGE(#REF!,#REF!)</f>
        <v>#REF!</v>
      </c>
    </row>
    <row r="54" spans="1:41" ht="75" x14ac:dyDescent="0.25">
      <c r="A54" s="48">
        <v>168153</v>
      </c>
      <c r="B54" s="48" t="s">
        <v>255</v>
      </c>
      <c r="C54" s="48" t="s">
        <v>121</v>
      </c>
      <c r="D54" s="48" t="s">
        <v>284</v>
      </c>
      <c r="E54" s="48" t="s">
        <v>377</v>
      </c>
      <c r="F54" s="48" t="s">
        <v>123</v>
      </c>
      <c r="G54" s="48" t="s">
        <v>22</v>
      </c>
      <c r="H54" s="48" t="s">
        <v>22</v>
      </c>
      <c r="I54" s="62" t="s">
        <v>403</v>
      </c>
      <c r="J54" s="76" t="s">
        <v>32</v>
      </c>
      <c r="K54" s="76" t="s">
        <v>32</v>
      </c>
      <c r="L54" s="67">
        <v>6.25</v>
      </c>
      <c r="M54" s="48" t="s">
        <v>22</v>
      </c>
      <c r="N54" s="66">
        <v>0.91</v>
      </c>
      <c r="O54" s="48" t="s">
        <v>36</v>
      </c>
      <c r="P54" s="49" t="s">
        <v>368</v>
      </c>
      <c r="Q54" s="101" t="s">
        <v>510</v>
      </c>
      <c r="R54" s="48">
        <v>5</v>
      </c>
      <c r="S54" s="48">
        <v>44</v>
      </c>
      <c r="T54" s="48">
        <v>0</v>
      </c>
      <c r="U54" s="48" t="s">
        <v>308</v>
      </c>
      <c r="V54" s="77" t="s">
        <v>292</v>
      </c>
      <c r="AO54" t="e">
        <f>AVERAGE(#REF!,#REF!)</f>
        <v>#REF!</v>
      </c>
    </row>
    <row r="55" spans="1:41" ht="75" x14ac:dyDescent="0.25">
      <c r="A55" s="48">
        <v>168157</v>
      </c>
      <c r="B55" s="48" t="s">
        <v>256</v>
      </c>
      <c r="C55" s="48" t="s">
        <v>121</v>
      </c>
      <c r="D55" s="48" t="s">
        <v>398</v>
      </c>
      <c r="E55" s="48" t="s">
        <v>383</v>
      </c>
      <c r="F55" s="48" t="s">
        <v>22</v>
      </c>
      <c r="G55" s="48" t="s">
        <v>22</v>
      </c>
      <c r="H55" s="48" t="s">
        <v>22</v>
      </c>
      <c r="I55" s="62" t="s">
        <v>22</v>
      </c>
      <c r="J55" s="76" t="s">
        <v>273</v>
      </c>
      <c r="K55" s="76" t="s">
        <v>31</v>
      </c>
      <c r="L55" s="67">
        <v>8</v>
      </c>
      <c r="M55" s="48" t="s">
        <v>22</v>
      </c>
      <c r="N55" s="66">
        <v>0.83</v>
      </c>
      <c r="O55" s="48" t="s">
        <v>36</v>
      </c>
      <c r="P55" s="77" t="s">
        <v>288</v>
      </c>
      <c r="Q55" s="77" t="s">
        <v>489</v>
      </c>
      <c r="R55" s="48">
        <v>4</v>
      </c>
      <c r="S55" s="48">
        <v>28</v>
      </c>
      <c r="T55" s="48">
        <v>0</v>
      </c>
      <c r="U55" s="48" t="s">
        <v>309</v>
      </c>
      <c r="V55" s="77" t="s">
        <v>292</v>
      </c>
      <c r="AO55" t="e">
        <f>AVERAGE(#REF!,#REF!)</f>
        <v>#REF!</v>
      </c>
    </row>
    <row r="56" spans="1:41" ht="75" x14ac:dyDescent="0.25">
      <c r="A56" s="48">
        <v>168057</v>
      </c>
      <c r="B56" s="48" t="s">
        <v>257</v>
      </c>
      <c r="C56" s="48" t="s">
        <v>121</v>
      </c>
      <c r="D56" s="48" t="s">
        <v>120</v>
      </c>
      <c r="E56" s="48" t="s">
        <v>381</v>
      </c>
      <c r="F56" s="48" t="s">
        <v>123</v>
      </c>
      <c r="G56" s="48" t="s">
        <v>22</v>
      </c>
      <c r="H56" s="48" t="s">
        <v>22</v>
      </c>
      <c r="I56" s="62" t="s">
        <v>404</v>
      </c>
      <c r="J56" s="76" t="s">
        <v>32</v>
      </c>
      <c r="K56" s="76" t="s">
        <v>276</v>
      </c>
      <c r="L56" s="67">
        <v>4.63</v>
      </c>
      <c r="M56" s="48" t="s">
        <v>45</v>
      </c>
      <c r="N56" s="48" t="s">
        <v>45</v>
      </c>
      <c r="O56" s="48" t="s">
        <v>37</v>
      </c>
      <c r="P56" s="48" t="s">
        <v>45</v>
      </c>
      <c r="Q56" s="101" t="s">
        <v>523</v>
      </c>
      <c r="R56" s="48">
        <v>2</v>
      </c>
      <c r="S56" s="48">
        <v>48</v>
      </c>
      <c r="T56" s="48">
        <v>0</v>
      </c>
      <c r="U56" s="78" t="s">
        <v>475</v>
      </c>
      <c r="V56" s="78" t="s">
        <v>45</v>
      </c>
      <c r="AO56" t="e">
        <f>AVERAGE(#REF!,#REF!)</f>
        <v>#REF!</v>
      </c>
    </row>
    <row r="57" spans="1:41" ht="75" x14ac:dyDescent="0.25">
      <c r="A57" s="48">
        <v>168180</v>
      </c>
      <c r="B57" s="48" t="s">
        <v>258</v>
      </c>
      <c r="C57" s="48" t="s">
        <v>121</v>
      </c>
      <c r="D57" s="48" t="s">
        <v>286</v>
      </c>
      <c r="E57" s="48" t="s">
        <v>377</v>
      </c>
      <c r="F57" s="48" t="s">
        <v>22</v>
      </c>
      <c r="G57" s="48" t="s">
        <v>22</v>
      </c>
      <c r="H57" s="48" t="s">
        <v>22</v>
      </c>
      <c r="I57" s="62" t="s">
        <v>403</v>
      </c>
      <c r="J57" s="76" t="s">
        <v>32</v>
      </c>
      <c r="K57" s="76" t="s">
        <v>32</v>
      </c>
      <c r="L57" s="67">
        <v>3.13</v>
      </c>
      <c r="M57" s="48" t="s">
        <v>22</v>
      </c>
      <c r="N57" s="66">
        <v>0.83</v>
      </c>
      <c r="O57" s="48" t="s">
        <v>36</v>
      </c>
      <c r="P57" s="77" t="s">
        <v>288</v>
      </c>
      <c r="Q57" s="101" t="s">
        <v>522</v>
      </c>
      <c r="R57" s="48">
        <v>5</v>
      </c>
      <c r="S57" s="48">
        <v>40</v>
      </c>
      <c r="T57" s="48">
        <v>0</v>
      </c>
      <c r="U57" s="48" t="s">
        <v>310</v>
      </c>
      <c r="V57" s="49" t="s">
        <v>311</v>
      </c>
      <c r="AO57" t="e">
        <f>AVERAGE(#REF!,#REF!)</f>
        <v>#REF!</v>
      </c>
    </row>
    <row r="58" spans="1:41" ht="90" x14ac:dyDescent="0.25">
      <c r="A58" s="48">
        <v>168177</v>
      </c>
      <c r="B58" s="48" t="s">
        <v>259</v>
      </c>
      <c r="C58" s="48" t="s">
        <v>190</v>
      </c>
      <c r="D58" s="48" t="s">
        <v>287</v>
      </c>
      <c r="E58" s="48" t="s">
        <v>396</v>
      </c>
      <c r="F58" s="48" t="s">
        <v>45</v>
      </c>
      <c r="G58" s="48" t="s">
        <v>45</v>
      </c>
      <c r="H58" s="48" t="s">
        <v>45</v>
      </c>
      <c r="I58" s="62" t="s">
        <v>403</v>
      </c>
      <c r="J58" s="76" t="s">
        <v>32</v>
      </c>
      <c r="K58" s="76" t="s">
        <v>32</v>
      </c>
      <c r="L58" s="67">
        <v>6.25</v>
      </c>
      <c r="M58" s="48" t="s">
        <v>45</v>
      </c>
      <c r="N58" s="48" t="s">
        <v>45</v>
      </c>
      <c r="O58" s="48" t="s">
        <v>37</v>
      </c>
      <c r="P58" s="48" t="s">
        <v>45</v>
      </c>
      <c r="Q58" s="77" t="s">
        <v>514</v>
      </c>
      <c r="R58" s="48">
        <v>9</v>
      </c>
      <c r="S58" s="48">
        <v>32</v>
      </c>
      <c r="T58" s="48">
        <v>1</v>
      </c>
      <c r="U58" s="48" t="s">
        <v>312</v>
      </c>
      <c r="V58" s="78" t="s">
        <v>45</v>
      </c>
      <c r="AO58" t="e">
        <f>AVERAGE(#REF!,#REF!)</f>
        <v>#REF!</v>
      </c>
    </row>
    <row r="59" spans="1:41" ht="120" x14ac:dyDescent="0.25">
      <c r="A59" s="48">
        <v>168114</v>
      </c>
      <c r="B59" s="48" t="s">
        <v>260</v>
      </c>
      <c r="C59" s="48" t="s">
        <v>121</v>
      </c>
      <c r="D59" s="48" t="s">
        <v>287</v>
      </c>
      <c r="E59" s="48" t="s">
        <v>399</v>
      </c>
      <c r="F59" s="48" t="s">
        <v>45</v>
      </c>
      <c r="G59" s="48" t="s">
        <v>45</v>
      </c>
      <c r="H59" s="48" t="s">
        <v>45</v>
      </c>
      <c r="I59" s="62" t="s">
        <v>404</v>
      </c>
      <c r="J59" s="76" t="s">
        <v>273</v>
      </c>
      <c r="K59" s="76" t="s">
        <v>276</v>
      </c>
      <c r="L59" s="67">
        <v>7.75</v>
      </c>
      <c r="M59" s="48" t="s">
        <v>45</v>
      </c>
      <c r="N59" s="48" t="s">
        <v>45</v>
      </c>
      <c r="O59" s="48" t="s">
        <v>37</v>
      </c>
      <c r="P59" s="48" t="s">
        <v>45</v>
      </c>
      <c r="Q59" s="101" t="s">
        <v>521</v>
      </c>
      <c r="R59" s="48">
        <v>4</v>
      </c>
      <c r="S59" s="48">
        <v>45</v>
      </c>
      <c r="T59" s="48">
        <v>0</v>
      </c>
      <c r="U59" s="48" t="s">
        <v>313</v>
      </c>
      <c r="V59" s="78" t="s">
        <v>45</v>
      </c>
      <c r="AO59" t="e">
        <f>AVERAGE(#REF!,#REF!)</f>
        <v>#REF!</v>
      </c>
    </row>
    <row r="60" spans="1:41" ht="90" x14ac:dyDescent="0.25">
      <c r="A60" s="48">
        <v>168038</v>
      </c>
      <c r="B60" s="48" t="s">
        <v>261</v>
      </c>
      <c r="C60" s="48" t="s">
        <v>121</v>
      </c>
      <c r="D60" s="48" t="s">
        <v>283</v>
      </c>
      <c r="E60" s="48" t="s">
        <v>376</v>
      </c>
      <c r="F60" s="48" t="s">
        <v>45</v>
      </c>
      <c r="G60" s="48" t="s">
        <v>45</v>
      </c>
      <c r="H60" s="48" t="s">
        <v>45</v>
      </c>
      <c r="I60" s="62" t="s">
        <v>22</v>
      </c>
      <c r="J60" s="76" t="s">
        <v>273</v>
      </c>
      <c r="K60" s="76" t="s">
        <v>31</v>
      </c>
      <c r="L60" s="67">
        <v>-0.75</v>
      </c>
      <c r="M60" s="49" t="s">
        <v>135</v>
      </c>
      <c r="N60" s="66">
        <v>0.78</v>
      </c>
      <c r="O60" s="48" t="s">
        <v>36</v>
      </c>
      <c r="P60" s="49" t="s">
        <v>368</v>
      </c>
      <c r="Q60" s="101" t="s">
        <v>527</v>
      </c>
      <c r="R60" s="48">
        <v>3</v>
      </c>
      <c r="S60" s="48">
        <v>40</v>
      </c>
      <c r="T60" s="48">
        <v>0</v>
      </c>
      <c r="U60" s="48" t="s">
        <v>314</v>
      </c>
      <c r="V60" s="49" t="s">
        <v>315</v>
      </c>
      <c r="AO60" t="e">
        <f>AVERAGE(#REF!,#REF!)</f>
        <v>#REF!</v>
      </c>
    </row>
    <row r="61" spans="1:41" ht="75" x14ac:dyDescent="0.25">
      <c r="A61" s="48">
        <v>168026</v>
      </c>
      <c r="B61" s="48" t="s">
        <v>262</v>
      </c>
      <c r="C61" s="48" t="s">
        <v>121</v>
      </c>
      <c r="D61" s="48" t="s">
        <v>284</v>
      </c>
      <c r="E61" s="48" t="s">
        <v>400</v>
      </c>
      <c r="F61" s="48" t="s">
        <v>22</v>
      </c>
      <c r="G61" s="48" t="s">
        <v>22</v>
      </c>
      <c r="H61" s="48" t="s">
        <v>22</v>
      </c>
      <c r="I61" s="62" t="s">
        <v>403</v>
      </c>
      <c r="J61" s="76" t="s">
        <v>32</v>
      </c>
      <c r="K61" s="76" t="s">
        <v>32</v>
      </c>
      <c r="L61" s="67">
        <v>3.25</v>
      </c>
      <c r="M61" s="48" t="s">
        <v>22</v>
      </c>
      <c r="N61" s="66">
        <v>0.87</v>
      </c>
      <c r="O61" s="48" t="s">
        <v>37</v>
      </c>
      <c r="P61" s="49" t="s">
        <v>368</v>
      </c>
      <c r="Q61" s="49" t="s">
        <v>520</v>
      </c>
      <c r="R61" s="48">
        <v>3</v>
      </c>
      <c r="S61" s="48">
        <v>30</v>
      </c>
      <c r="T61" s="48">
        <v>0</v>
      </c>
      <c r="U61" s="48" t="s">
        <v>316</v>
      </c>
      <c r="V61" s="49" t="s">
        <v>317</v>
      </c>
      <c r="AO61" t="e">
        <f>AVERAGE(#REF!,#REF!)</f>
        <v>#REF!</v>
      </c>
    </row>
    <row r="62" spans="1:41" ht="105" x14ac:dyDescent="0.25">
      <c r="A62" s="48">
        <v>168067</v>
      </c>
      <c r="B62" s="48" t="s">
        <v>263</v>
      </c>
      <c r="C62" s="48" t="s">
        <v>121</v>
      </c>
      <c r="D62" s="48" t="s">
        <v>286</v>
      </c>
      <c r="E62" s="48" t="s">
        <v>383</v>
      </c>
      <c r="F62" s="48" t="s">
        <v>22</v>
      </c>
      <c r="G62" s="48" t="s">
        <v>22</v>
      </c>
      <c r="H62" s="48" t="s">
        <v>22</v>
      </c>
      <c r="I62" s="62" t="s">
        <v>22</v>
      </c>
      <c r="J62" s="76" t="s">
        <v>273</v>
      </c>
      <c r="K62" s="76" t="s">
        <v>31</v>
      </c>
      <c r="L62" s="67">
        <v>3.38</v>
      </c>
      <c r="M62" s="48" t="s">
        <v>22</v>
      </c>
      <c r="N62" s="66">
        <v>0.88</v>
      </c>
      <c r="O62" s="48" t="s">
        <v>37</v>
      </c>
      <c r="P62" s="77" t="s">
        <v>288</v>
      </c>
      <c r="Q62" s="49" t="s">
        <v>519</v>
      </c>
      <c r="R62" s="48">
        <v>6</v>
      </c>
      <c r="S62" s="48">
        <v>48</v>
      </c>
      <c r="T62" s="48">
        <v>1.8</v>
      </c>
      <c r="U62" s="48" t="s">
        <v>318</v>
      </c>
      <c r="V62" s="77" t="s">
        <v>292</v>
      </c>
      <c r="AO62" t="e">
        <f>AVERAGE(#REF!,#REF!)</f>
        <v>#REF!</v>
      </c>
    </row>
    <row r="63" spans="1:41" ht="90" x14ac:dyDescent="0.25">
      <c r="A63" s="48">
        <v>168130</v>
      </c>
      <c r="B63" s="48" t="s">
        <v>264</v>
      </c>
      <c r="C63" s="48" t="s">
        <v>121</v>
      </c>
      <c r="D63" s="48" t="s">
        <v>283</v>
      </c>
      <c r="E63" s="48" t="s">
        <v>376</v>
      </c>
      <c r="F63" s="48" t="s">
        <v>22</v>
      </c>
      <c r="G63" s="48" t="s">
        <v>22</v>
      </c>
      <c r="H63" s="48" t="s">
        <v>22</v>
      </c>
      <c r="I63" s="62" t="s">
        <v>405</v>
      </c>
      <c r="J63" s="76" t="s">
        <v>274</v>
      </c>
      <c r="K63" s="76" t="s">
        <v>280</v>
      </c>
      <c r="L63" s="67">
        <v>7.5</v>
      </c>
      <c r="M63" s="49" t="s">
        <v>135</v>
      </c>
      <c r="N63" s="66">
        <v>0.79</v>
      </c>
      <c r="O63" s="48" t="s">
        <v>37</v>
      </c>
      <c r="P63" s="77" t="s">
        <v>288</v>
      </c>
      <c r="Q63" s="101" t="s">
        <v>510</v>
      </c>
      <c r="R63" s="48">
        <v>4</v>
      </c>
      <c r="S63" s="48">
        <v>50</v>
      </c>
      <c r="T63" s="48">
        <v>0</v>
      </c>
      <c r="U63" s="48" t="s">
        <v>319</v>
      </c>
      <c r="V63" s="77" t="s">
        <v>292</v>
      </c>
      <c r="AO63" t="e">
        <f>AVERAGE(#REF!,#REF!)</f>
        <v>#REF!</v>
      </c>
    </row>
    <row r="64" spans="1:41" ht="75" x14ac:dyDescent="0.25">
      <c r="A64" s="48">
        <v>168103</v>
      </c>
      <c r="B64" s="48" t="s">
        <v>265</v>
      </c>
      <c r="C64" s="48" t="s">
        <v>121</v>
      </c>
      <c r="D64" s="48" t="s">
        <v>284</v>
      </c>
      <c r="E64" s="48" t="s">
        <v>377</v>
      </c>
      <c r="F64" s="48" t="s">
        <v>123</v>
      </c>
      <c r="G64" s="48" t="s">
        <v>22</v>
      </c>
      <c r="H64" s="48" t="s">
        <v>22</v>
      </c>
      <c r="I64" s="62" t="s">
        <v>22</v>
      </c>
      <c r="J64" s="76" t="s">
        <v>273</v>
      </c>
      <c r="K64" s="76" t="s">
        <v>31</v>
      </c>
      <c r="L64" s="67">
        <v>1.38</v>
      </c>
      <c r="M64" s="48" t="s">
        <v>22</v>
      </c>
      <c r="N64" s="66">
        <v>1.01</v>
      </c>
      <c r="O64" s="48" t="s">
        <v>37</v>
      </c>
      <c r="P64" s="49" t="s">
        <v>368</v>
      </c>
      <c r="Q64" s="101" t="s">
        <v>518</v>
      </c>
      <c r="R64" s="48">
        <v>2</v>
      </c>
      <c r="S64" s="48">
        <v>40</v>
      </c>
      <c r="T64" s="48">
        <v>0</v>
      </c>
      <c r="U64" s="48" t="s">
        <v>320</v>
      </c>
      <c r="V64" s="77" t="s">
        <v>292</v>
      </c>
      <c r="AO64" t="e">
        <f>AVERAGE(#REF!,#REF!)</f>
        <v>#REF!</v>
      </c>
    </row>
    <row r="65" spans="1:41" ht="90" x14ac:dyDescent="0.25">
      <c r="A65" s="48">
        <v>168095</v>
      </c>
      <c r="B65" s="48" t="s">
        <v>266</v>
      </c>
      <c r="C65" s="48" t="s">
        <v>121</v>
      </c>
      <c r="D65" s="48" t="s">
        <v>283</v>
      </c>
      <c r="E65" s="48" t="s">
        <v>401</v>
      </c>
      <c r="F65" s="48" t="s">
        <v>22</v>
      </c>
      <c r="G65" s="48" t="s">
        <v>22</v>
      </c>
      <c r="H65" s="48" t="s">
        <v>22</v>
      </c>
      <c r="I65" s="62" t="s">
        <v>22</v>
      </c>
      <c r="J65" s="76" t="s">
        <v>273</v>
      </c>
      <c r="K65" s="76" t="s">
        <v>31</v>
      </c>
      <c r="L65" s="67">
        <v>2</v>
      </c>
      <c r="M65" s="49" t="s">
        <v>135</v>
      </c>
      <c r="N65" s="66">
        <v>0.76</v>
      </c>
      <c r="O65" s="48" t="s">
        <v>37</v>
      </c>
      <c r="P65" s="77" t="s">
        <v>288</v>
      </c>
      <c r="Q65" s="77" t="s">
        <v>517</v>
      </c>
      <c r="R65" s="48">
        <v>2</v>
      </c>
      <c r="S65" s="48">
        <v>30</v>
      </c>
      <c r="T65" s="48">
        <v>0</v>
      </c>
      <c r="U65" s="48" t="s">
        <v>321</v>
      </c>
      <c r="V65" s="77" t="s">
        <v>292</v>
      </c>
      <c r="AO65" t="e">
        <f>AVERAGE(#REF!,#REF!)</f>
        <v>#REF!</v>
      </c>
    </row>
    <row r="66" spans="1:41" ht="75" x14ac:dyDescent="0.25">
      <c r="A66" s="48">
        <v>168125</v>
      </c>
      <c r="B66" s="48" t="s">
        <v>267</v>
      </c>
      <c r="C66" s="48" t="s">
        <v>121</v>
      </c>
      <c r="D66" s="48" t="s">
        <v>284</v>
      </c>
      <c r="E66" s="48" t="s">
        <v>376</v>
      </c>
      <c r="F66" s="48" t="s">
        <v>22</v>
      </c>
      <c r="G66" s="48" t="s">
        <v>22</v>
      </c>
      <c r="H66" s="48" t="s">
        <v>22</v>
      </c>
      <c r="I66" s="62" t="s">
        <v>403</v>
      </c>
      <c r="J66" s="76" t="s">
        <v>273</v>
      </c>
      <c r="K66" s="76" t="s">
        <v>32</v>
      </c>
      <c r="L66" s="67">
        <v>3.38</v>
      </c>
      <c r="M66" s="48" t="s">
        <v>22</v>
      </c>
      <c r="N66" s="66">
        <v>0.85</v>
      </c>
      <c r="O66" s="48" t="s">
        <v>37</v>
      </c>
      <c r="P66" s="77" t="s">
        <v>288</v>
      </c>
      <c r="Q66" s="101" t="s">
        <v>513</v>
      </c>
      <c r="R66" s="48">
        <v>6</v>
      </c>
      <c r="S66" s="48">
        <v>40</v>
      </c>
      <c r="T66" s="48">
        <v>0</v>
      </c>
      <c r="U66" s="48" t="s">
        <v>323</v>
      </c>
      <c r="V66" s="77" t="s">
        <v>292</v>
      </c>
      <c r="AO66" t="e">
        <f>AVERAGE(#REF!,#REF!)</f>
        <v>#REF!</v>
      </c>
    </row>
    <row r="67" spans="1:41" ht="105" x14ac:dyDescent="0.25">
      <c r="A67" s="48">
        <v>168049</v>
      </c>
      <c r="B67" s="48" t="s">
        <v>268</v>
      </c>
      <c r="C67" s="48" t="s">
        <v>121</v>
      </c>
      <c r="D67" s="48" t="s">
        <v>285</v>
      </c>
      <c r="E67" s="48" t="s">
        <v>380</v>
      </c>
      <c r="F67" s="48" t="s">
        <v>123</v>
      </c>
      <c r="G67" s="48" t="s">
        <v>22</v>
      </c>
      <c r="H67" s="48" t="s">
        <v>22</v>
      </c>
      <c r="I67" s="62" t="s">
        <v>22</v>
      </c>
      <c r="J67" s="76" t="s">
        <v>273</v>
      </c>
      <c r="K67" s="76" t="s">
        <v>31</v>
      </c>
      <c r="L67" s="67">
        <v>-0.5</v>
      </c>
      <c r="M67" s="48" t="s">
        <v>22</v>
      </c>
      <c r="N67" s="66">
        <v>0.99</v>
      </c>
      <c r="O67" s="48" t="s">
        <v>37</v>
      </c>
      <c r="P67" s="77" t="s">
        <v>288</v>
      </c>
      <c r="Q67" s="49" t="s">
        <v>512</v>
      </c>
      <c r="R67" s="48">
        <v>6</v>
      </c>
      <c r="S67" s="48">
        <v>36</v>
      </c>
      <c r="T67" s="48">
        <v>1.8</v>
      </c>
      <c r="U67" s="48" t="s">
        <v>324</v>
      </c>
      <c r="V67" s="77" t="s">
        <v>292</v>
      </c>
      <c r="AO67" t="e">
        <f>AVERAGE(#REF!,#REF!)</f>
        <v>#REF!</v>
      </c>
    </row>
    <row r="68" spans="1:41" ht="90" x14ac:dyDescent="0.25">
      <c r="A68" s="48">
        <v>168109</v>
      </c>
      <c r="B68" s="48" t="s">
        <v>269</v>
      </c>
      <c r="C68" s="48" t="s">
        <v>121</v>
      </c>
      <c r="D68" s="48" t="s">
        <v>285</v>
      </c>
      <c r="E68" s="48" t="s">
        <v>380</v>
      </c>
      <c r="F68" s="48" t="s">
        <v>22</v>
      </c>
      <c r="G68" s="48" t="s">
        <v>22</v>
      </c>
      <c r="H68" s="48" t="s">
        <v>22</v>
      </c>
      <c r="I68" s="62" t="s">
        <v>22</v>
      </c>
      <c r="J68" s="76" t="s">
        <v>273</v>
      </c>
      <c r="K68" s="76" t="s">
        <v>31</v>
      </c>
      <c r="L68" s="67">
        <v>0.13</v>
      </c>
      <c r="M68" s="48" t="s">
        <v>34</v>
      </c>
      <c r="N68" s="66" t="s">
        <v>281</v>
      </c>
      <c r="O68" s="48" t="s">
        <v>37</v>
      </c>
      <c r="P68" s="77" t="s">
        <v>288</v>
      </c>
      <c r="Q68" s="49" t="s">
        <v>511</v>
      </c>
      <c r="R68" s="48">
        <v>4</v>
      </c>
      <c r="S68" s="48">
        <v>36</v>
      </c>
      <c r="T68" s="48">
        <v>0</v>
      </c>
      <c r="U68" s="48" t="s">
        <v>325</v>
      </c>
      <c r="V68" s="77" t="s">
        <v>292</v>
      </c>
      <c r="AO68" t="e">
        <f>AVERAGE(#REF!,#REF!)</f>
        <v>#REF!</v>
      </c>
    </row>
    <row r="69" spans="1:41" ht="90" x14ac:dyDescent="0.25">
      <c r="A69" s="48">
        <v>168043</v>
      </c>
      <c r="B69" s="48" t="s">
        <v>270</v>
      </c>
      <c r="C69" s="48" t="s">
        <v>121</v>
      </c>
      <c r="D69" s="48" t="s">
        <v>283</v>
      </c>
      <c r="E69" s="48" t="s">
        <v>402</v>
      </c>
      <c r="F69" s="48" t="s">
        <v>22</v>
      </c>
      <c r="G69" s="48" t="s">
        <v>22</v>
      </c>
      <c r="H69" s="48" t="s">
        <v>22</v>
      </c>
      <c r="I69" s="62" t="s">
        <v>22</v>
      </c>
      <c r="J69" s="76" t="s">
        <v>273</v>
      </c>
      <c r="K69" s="76" t="s">
        <v>31</v>
      </c>
      <c r="L69" s="67">
        <v>3.38</v>
      </c>
      <c r="M69" s="48" t="s">
        <v>22</v>
      </c>
      <c r="N69" s="79">
        <v>0.8</v>
      </c>
      <c r="O69" s="48" t="s">
        <v>37</v>
      </c>
      <c r="P69" s="49" t="s">
        <v>368</v>
      </c>
      <c r="Q69" s="101" t="s">
        <v>510</v>
      </c>
      <c r="R69" s="48">
        <v>3</v>
      </c>
      <c r="S69" s="48">
        <v>44</v>
      </c>
      <c r="T69" s="48">
        <v>0</v>
      </c>
      <c r="U69" s="48" t="s">
        <v>326</v>
      </c>
      <c r="V69" s="77" t="s">
        <v>292</v>
      </c>
      <c r="AO69" t="e">
        <f>AVERAGE(#REF!,#REF!)</f>
        <v>#REF!</v>
      </c>
    </row>
    <row r="70" spans="1:41" ht="90" x14ac:dyDescent="0.25">
      <c r="A70" s="48">
        <v>168097</v>
      </c>
      <c r="B70" s="48" t="s">
        <v>271</v>
      </c>
      <c r="C70" s="48" t="s">
        <v>121</v>
      </c>
      <c r="D70" s="48" t="s">
        <v>283</v>
      </c>
      <c r="E70" s="48" t="s">
        <v>394</v>
      </c>
      <c r="F70" s="48" t="s">
        <v>123</v>
      </c>
      <c r="G70" s="48" t="s">
        <v>22</v>
      </c>
      <c r="H70" s="48" t="s">
        <v>22</v>
      </c>
      <c r="I70" s="62" t="s">
        <v>404</v>
      </c>
      <c r="J70" s="76" t="s">
        <v>274</v>
      </c>
      <c r="K70" s="76" t="s">
        <v>32</v>
      </c>
      <c r="L70" s="67">
        <v>6.25</v>
      </c>
      <c r="M70" s="49" t="s">
        <v>135</v>
      </c>
      <c r="N70" s="66">
        <v>0.68</v>
      </c>
      <c r="O70" s="48" t="s">
        <v>37</v>
      </c>
      <c r="P70" s="77" t="s">
        <v>288</v>
      </c>
      <c r="Q70" s="49" t="s">
        <v>509</v>
      </c>
      <c r="R70" s="48">
        <v>3</v>
      </c>
      <c r="S70" s="48">
        <v>40</v>
      </c>
      <c r="T70" s="48">
        <v>0</v>
      </c>
      <c r="U70" s="48" t="s">
        <v>327</v>
      </c>
      <c r="V70" s="77" t="s">
        <v>292</v>
      </c>
      <c r="AO70" t="e">
        <f>AVERAGE(#REF!,#REF!)</f>
        <v>#REF!</v>
      </c>
    </row>
    <row r="71" spans="1:41" ht="75" x14ac:dyDescent="0.25">
      <c r="A71" s="48">
        <v>168183</v>
      </c>
      <c r="B71" s="48" t="s">
        <v>272</v>
      </c>
      <c r="C71" s="48" t="s">
        <v>121</v>
      </c>
      <c r="D71" s="48" t="s">
        <v>286</v>
      </c>
      <c r="E71" s="48" t="s">
        <v>382</v>
      </c>
      <c r="F71" s="48" t="s">
        <v>23</v>
      </c>
      <c r="G71" s="48" t="s">
        <v>22</v>
      </c>
      <c r="H71" s="48" t="s">
        <v>22</v>
      </c>
      <c r="I71" s="62" t="s">
        <v>22</v>
      </c>
      <c r="J71" s="76" t="s">
        <v>273</v>
      </c>
      <c r="K71" s="76" t="s">
        <v>31</v>
      </c>
      <c r="L71" s="67">
        <v>8</v>
      </c>
      <c r="M71" s="48" t="s">
        <v>22</v>
      </c>
      <c r="N71" s="66">
        <v>1.02</v>
      </c>
      <c r="O71" s="48" t="s">
        <v>37</v>
      </c>
      <c r="P71" s="77" t="s">
        <v>288</v>
      </c>
      <c r="Q71" s="77" t="s">
        <v>489</v>
      </c>
      <c r="R71" s="48">
        <v>4</v>
      </c>
      <c r="S71" s="48">
        <v>36</v>
      </c>
      <c r="T71" s="48">
        <v>0</v>
      </c>
      <c r="U71" s="48" t="s">
        <v>328</v>
      </c>
      <c r="V71" s="77" t="s">
        <v>292</v>
      </c>
      <c r="AO71" t="e">
        <f>AVERAGE(#REF!,#REF!)</f>
        <v>#REF!</v>
      </c>
    </row>
  </sheetData>
  <autoFilter ref="A3:V71" xr:uid="{00000000-0001-0000-0000-000000000000}"/>
  <sortState xmlns:xlrd2="http://schemas.microsoft.com/office/spreadsheetml/2017/richdata2" ref="A4:V71">
    <sortCondition ref="B4:B71"/>
  </sortState>
  <mergeCells count="2">
    <mergeCell ref="F2:H2"/>
    <mergeCell ref="J2:L2"/>
  </mergeCells>
  <conditionalFormatting sqref="C4:C71">
    <cfRule type="containsText" dxfId="56" priority="276" operator="containsText" text="M">
      <formula>NOT(ISERROR(SEARCH("M",C4)))</formula>
    </cfRule>
    <cfRule type="containsText" dxfId="55" priority="275" operator="containsText" text="F">
      <formula>NOT(ISERROR(SEARCH("F",C4)))</formula>
    </cfRule>
  </conditionalFormatting>
  <conditionalFormatting sqref="F4:H71">
    <cfRule type="containsText" dxfId="54" priority="259" operator="containsText" text="DISMINUIDA NO CORREGIDA">
      <formula>NOT(ISERROR(SEARCH("DISMINUIDA NO CORREGIDA",F4)))</formula>
    </cfRule>
    <cfRule type="containsText" dxfId="53" priority="260" operator="containsText" text="DISMINUIDA CORREGIDA">
      <formula>NOT(ISERROR(SEARCH("DISMINUIDA CORREGIDA",F4)))</formula>
    </cfRule>
    <cfRule type="containsText" dxfId="52" priority="261" operator="containsText" text="NORMAL">
      <formula>NOT(ISERROR(SEARCH("NORMAL",F4)))</formula>
    </cfRule>
    <cfRule type="containsText" dxfId="51" priority="262" operator="containsText" text="DISMINUIDA SIN">
      <formula>NOT(ISERROR(SEARCH("DISMINUIDA SIN",F4)))</formula>
    </cfRule>
  </conditionalFormatting>
  <conditionalFormatting sqref="J4:K71">
    <cfRule type="containsText" dxfId="50" priority="3" operator="containsText" text="Leve, Sugestivo de Trauma Acústico crónico por ruido">
      <formula>NOT(ISERROR(SEARCH("Leve, Sugestivo de Trauma Acústico crónico por ruido",J4)))</formula>
    </cfRule>
    <cfRule type="containsText" dxfId="49" priority="4" operator="containsText" text="Leve , Sugestivo de Trauma Acústico crónico por ruido">
      <formula>NOT(ISERROR(SEARCH("Leve , Sugestivo de Trauma Acústico crónico por ruido",J4)))</formula>
    </cfRule>
    <cfRule type="containsText" dxfId="48" priority="5" operator="containsText" text="Profunda">
      <formula>NOT(ISERROR(SEARCH("Profunda",J4)))</formula>
    </cfRule>
    <cfRule type="containsText" dxfId="47" priority="6" operator="containsText" text="Moderadamente">
      <formula>NOT(ISERROR(SEARCH("Moderadamente",J4)))</formula>
    </cfRule>
    <cfRule type="containsText" dxfId="46" priority="7" operator="containsText" text="Moderada">
      <formula>NOT(ISERROR(SEARCH("Moderada",J4)))</formula>
    </cfRule>
    <cfRule type="containsText" dxfId="45" priority="8" operator="containsText" text="Grave">
      <formula>NOT(ISERROR(SEARCH("Grave",J4)))</formula>
    </cfRule>
    <cfRule type="containsText" dxfId="44" priority="9" operator="containsText" text="Leve">
      <formula>NOT(ISERROR(SEARCH("Leve",J4)))</formula>
    </cfRule>
  </conditionalFormatting>
  <conditionalFormatting sqref="L4:L71">
    <cfRule type="cellIs" dxfId="41" priority="41" operator="greaterThan">
      <formula>20</formula>
    </cfRule>
    <cfRule type="cellIs" dxfId="40" priority="42" operator="between">
      <formula>10</formula>
      <formula>19.99</formula>
    </cfRule>
    <cfRule type="cellIs" dxfId="39" priority="43" operator="lessThan">
      <formula>9.99</formula>
    </cfRule>
  </conditionalFormatting>
  <conditionalFormatting sqref="M4:M7 M9:M15 M17:M21 M23:M26 M28:M30 M32:M55 M57 M60:M71">
    <cfRule type="containsText" dxfId="38" priority="135" operator="containsText" text="NO DIAGNOSTICABLE">
      <formula>NOT(ISERROR(SEARCH("NO DIAGNOSTICABLE",M4)))</formula>
    </cfRule>
    <cfRule type="containsText" dxfId="37" priority="136" operator="containsText" text="NORMAL">
      <formula>NOT(ISERROR(SEARCH("NORMAL",M4)))</formula>
    </cfRule>
  </conditionalFormatting>
  <conditionalFormatting sqref="N4:N7 N9:N15 N17:N21 N23:N26 N28:N30 N32:N55 N57 N60:N71">
    <cfRule type="cellIs" dxfId="36" priority="212" operator="between">
      <formula>0.5</formula>
      <formula>0.66</formula>
    </cfRule>
    <cfRule type="cellIs" dxfId="35" priority="213" operator="between">
      <formula>0.79</formula>
      <formula>0.65</formula>
    </cfRule>
    <cfRule type="cellIs" dxfId="34" priority="214" operator="lessThan">
      <formula>0.49</formula>
    </cfRule>
    <cfRule type="cellIs" dxfId="33" priority="215" operator="greaterThan">
      <formula>0.8</formula>
    </cfRule>
  </conditionalFormatting>
  <conditionalFormatting sqref="O4:O71">
    <cfRule type="containsText" dxfId="32" priority="205" operator="containsText" text="NEGADO">
      <formula>NOT(ISERROR(SEARCH("NEGADO",O4)))</formula>
    </cfRule>
    <cfRule type="containsText" dxfId="31" priority="206" operator="containsText" text="POSITIVO">
      <formula>NOT(ISERROR(SEARCH("POSITIVO",O4)))</formula>
    </cfRule>
  </conditionalFormatting>
  <conditionalFormatting sqref="R4:R71">
    <cfRule type="cellIs" dxfId="30" priority="191" operator="greaterThanOrEqual">
      <formula>10</formula>
    </cfRule>
    <cfRule type="cellIs" dxfId="29" priority="190" operator="between">
      <formula>5</formula>
      <formula>9.9</formula>
    </cfRule>
    <cfRule type="cellIs" dxfId="28" priority="189" operator="between">
      <formula>1</formula>
      <formula>4.9</formula>
    </cfRule>
    <cfRule type="cellIs" dxfId="27" priority="188" operator="lessThan">
      <formula>0.9</formula>
    </cfRule>
  </conditionalFormatting>
  <conditionalFormatting sqref="R4:T71">
    <cfRule type="containsText" dxfId="26" priority="1" operator="containsText" text="N/A">
      <formula>NOT(ISERROR(SEARCH("N/A",R4)))</formula>
    </cfRule>
  </conditionalFormatting>
  <conditionalFormatting sqref="S4:S71">
    <cfRule type="cellIs" dxfId="25" priority="186" operator="between">
      <formula>21</formula>
      <formula>39</formula>
    </cfRule>
    <cfRule type="cellIs" dxfId="24" priority="187" operator="lessThanOrEqual">
      <formula>20.9</formula>
    </cfRule>
    <cfRule type="cellIs" dxfId="23" priority="184" operator="greaterThanOrEqual">
      <formula>50</formula>
    </cfRule>
    <cfRule type="cellIs" dxfId="22" priority="185" operator="between">
      <formula>40</formula>
      <formula>49</formula>
    </cfRule>
  </conditionalFormatting>
  <conditionalFormatting sqref="T4:T71">
    <cfRule type="cellIs" dxfId="21" priority="180" operator="greaterThan">
      <formula>5.1</formula>
    </cfRule>
    <cfRule type="cellIs" dxfId="20" priority="182" operator="lessThan">
      <formula>1</formula>
    </cfRule>
    <cfRule type="cellIs" dxfId="19" priority="181" operator="between">
      <formula>1</formula>
      <formula>5</formula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9" operator="containsText" id="{60164BBE-0704-4E60-BBD5-301CD667BADF}">
            <xm:f>NOT(ISERROR(SEARCH(Hoja3!$B$21,J4)))</xm:f>
            <xm:f>Hoja3!$B$21</xm:f>
            <x14:dxf>
              <fill>
                <patternFill>
                  <bgColor rgb="FFFFFF00"/>
                </patternFill>
              </fill>
            </x14:dxf>
          </x14:cfRule>
          <x14:cfRule type="containsText" priority="40" operator="containsText" id="{536C536A-ECF3-4C80-A22E-A9482ED85FCD}">
            <xm:f>NOT(ISERROR(SEARCH(Hoja3!$B$20,J4)))</xm:f>
            <xm:f>Hoja3!$B$20</xm:f>
            <x14:dxf>
              <fill>
                <patternFill>
                  <bgColor rgb="FF92D050"/>
                </patternFill>
              </fill>
            </x14:dxf>
          </x14:cfRule>
          <xm:sqref>J4:K71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F0738FC-BAED-41CC-AB1E-99C975592282}">
          <x14:formula1>
            <xm:f>Hoja3!$B$49:$B$54</xm:f>
          </x14:formula1>
          <xm:sqref>M4:M7 M9:M15 M17:M21 M23:M26 M28:M30 M32:M55 M57 M60:M71</xm:sqref>
        </x14:dataValidation>
        <x14:dataValidation type="list" allowBlank="1" showInputMessage="1" showErrorMessage="1" xr:uid="{80B926D5-AB62-4318-9BE0-C86CDD7CA330}">
          <x14:formula1>
            <xm:f>Hoja3!$B$2:$B$6</xm:f>
          </x14:formula1>
          <xm:sqref>F4:F71 G58:H60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F270-1860-494F-B1A0-2E8444916977}">
  <dimension ref="A1:Z71"/>
  <sheetViews>
    <sheetView showGridLines="0" topLeftCell="A28" zoomScale="85" zoomScaleNormal="85" workbookViewId="0">
      <selection activeCell="R3" sqref="R3"/>
    </sheetView>
  </sheetViews>
  <sheetFormatPr baseColWidth="10" defaultRowHeight="15" x14ac:dyDescent="0.25"/>
  <cols>
    <col min="1" max="1" width="15.42578125" bestFit="1" customWidth="1"/>
    <col min="2" max="2" width="31.42578125" customWidth="1"/>
    <col min="3" max="3" width="10.7109375" bestFit="1" customWidth="1"/>
    <col min="4" max="4" width="7.28515625" customWidth="1"/>
    <col min="5" max="5" width="7.7109375" style="86" customWidth="1"/>
    <col min="6" max="6" width="6.5703125" style="86" customWidth="1"/>
    <col min="7" max="7" width="6.140625" style="86" customWidth="1"/>
    <col min="8" max="8" width="6.28515625" style="86" customWidth="1"/>
    <col min="9" max="9" width="7" style="87" customWidth="1"/>
    <col min="10" max="10" width="8.140625" style="86" customWidth="1"/>
    <col min="11" max="11" width="7" style="86" customWidth="1"/>
    <col min="12" max="12" width="7.28515625" style="86" customWidth="1"/>
    <col min="13" max="13" width="6.28515625" style="86" customWidth="1"/>
    <col min="14" max="14" width="6.85546875" style="86" customWidth="1"/>
    <col min="15" max="15" width="8.85546875" style="86" customWidth="1"/>
    <col min="16" max="16" width="8" style="86" customWidth="1"/>
    <col min="17" max="17" width="8.140625" customWidth="1"/>
    <col min="18" max="19" width="6.28515625" customWidth="1"/>
    <col min="20" max="20" width="18.28515625" customWidth="1"/>
    <col min="21" max="21" width="30.5703125" customWidth="1"/>
    <col min="22" max="26" width="10.7109375" customWidth="1"/>
  </cols>
  <sheetData>
    <row r="1" spans="1:26" ht="30.75" customHeight="1" x14ac:dyDescent="0.25">
      <c r="A1" s="105" t="s">
        <v>189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5" customHeight="1" x14ac:dyDescent="0.25">
      <c r="A2" s="72"/>
      <c r="B2" s="73"/>
      <c r="C2" s="73"/>
      <c r="D2" s="73"/>
      <c r="E2" s="107" t="s">
        <v>167</v>
      </c>
      <c r="F2" s="108"/>
      <c r="G2" s="108"/>
      <c r="H2" s="108"/>
      <c r="I2" s="109"/>
      <c r="J2" s="110" t="s">
        <v>168</v>
      </c>
      <c r="K2" s="111"/>
      <c r="L2" s="111"/>
      <c r="M2" s="111"/>
      <c r="N2" s="111"/>
      <c r="O2" s="111"/>
      <c r="P2" s="112"/>
      <c r="Q2" s="113" t="s">
        <v>124</v>
      </c>
      <c r="R2" s="114"/>
      <c r="S2" s="114"/>
      <c r="T2" s="114"/>
      <c r="U2" s="114"/>
      <c r="V2" s="114" t="s">
        <v>20</v>
      </c>
      <c r="W2" s="114"/>
      <c r="X2" s="114"/>
      <c r="Y2" s="114"/>
      <c r="Z2" s="114"/>
    </row>
    <row r="3" spans="1:26" ht="25.5" x14ac:dyDescent="0.25">
      <c r="A3" s="80" t="s">
        <v>169</v>
      </c>
      <c r="B3" s="80" t="s">
        <v>170</v>
      </c>
      <c r="C3" s="80" t="s">
        <v>18</v>
      </c>
      <c r="D3" s="80" t="s">
        <v>171</v>
      </c>
      <c r="E3" s="80" t="s">
        <v>172</v>
      </c>
      <c r="F3" s="80" t="s">
        <v>173</v>
      </c>
      <c r="G3" s="80" t="s">
        <v>174</v>
      </c>
      <c r="H3" s="80" t="s">
        <v>175</v>
      </c>
      <c r="I3" s="80" t="s">
        <v>176</v>
      </c>
      <c r="J3" s="80" t="s">
        <v>177</v>
      </c>
      <c r="K3" s="80" t="s">
        <v>178</v>
      </c>
      <c r="L3" s="80" t="s">
        <v>179</v>
      </c>
      <c r="M3" s="80" t="s">
        <v>180</v>
      </c>
      <c r="N3" s="80" t="s">
        <v>181</v>
      </c>
      <c r="O3" s="80" t="s">
        <v>182</v>
      </c>
      <c r="P3" s="80" t="s">
        <v>183</v>
      </c>
      <c r="Q3" s="80" t="s">
        <v>184</v>
      </c>
      <c r="R3" s="80" t="s">
        <v>185</v>
      </c>
      <c r="S3" s="80" t="s">
        <v>186</v>
      </c>
      <c r="T3" s="80" t="s">
        <v>187</v>
      </c>
      <c r="U3" s="80" t="s">
        <v>188</v>
      </c>
      <c r="V3" s="80" t="s">
        <v>407</v>
      </c>
      <c r="W3" s="80" t="s">
        <v>408</v>
      </c>
      <c r="X3" s="80" t="s">
        <v>409</v>
      </c>
      <c r="Y3" s="80" t="s">
        <v>410</v>
      </c>
      <c r="Z3" s="80" t="s">
        <v>411</v>
      </c>
    </row>
    <row r="4" spans="1:26" x14ac:dyDescent="0.25">
      <c r="A4" s="74">
        <v>260417010016</v>
      </c>
      <c r="B4" s="75" t="s">
        <v>206</v>
      </c>
      <c r="C4" s="100" t="s">
        <v>121</v>
      </c>
      <c r="D4" s="75" t="s">
        <v>412</v>
      </c>
      <c r="E4" s="84">
        <v>16.399999999999999</v>
      </c>
      <c r="F4" s="83">
        <v>31.2</v>
      </c>
      <c r="G4" s="83">
        <v>34.1</v>
      </c>
      <c r="H4" s="83">
        <v>7.6</v>
      </c>
      <c r="I4" s="74">
        <v>217</v>
      </c>
      <c r="J4" s="84">
        <v>74.3</v>
      </c>
      <c r="K4" s="84">
        <v>17</v>
      </c>
      <c r="L4" s="83">
        <v>36.299999999999997</v>
      </c>
      <c r="M4" s="85">
        <v>1</v>
      </c>
      <c r="N4" s="85">
        <v>9.8000000000000007</v>
      </c>
      <c r="O4" s="88">
        <v>208.8</v>
      </c>
      <c r="P4" s="83">
        <v>80.3</v>
      </c>
      <c r="Q4" s="81">
        <v>0</v>
      </c>
      <c r="R4" s="81">
        <v>0</v>
      </c>
      <c r="S4" s="81">
        <v>0</v>
      </c>
      <c r="T4" s="81" t="s">
        <v>414</v>
      </c>
      <c r="U4" s="82" t="s">
        <v>415</v>
      </c>
      <c r="V4" s="82" t="s">
        <v>36</v>
      </c>
      <c r="W4" s="75" t="s">
        <v>416</v>
      </c>
      <c r="X4" s="75" t="s">
        <v>416</v>
      </c>
      <c r="Y4" s="75" t="s">
        <v>416</v>
      </c>
      <c r="Z4" s="82" t="s">
        <v>36</v>
      </c>
    </row>
    <row r="5" spans="1:26" x14ac:dyDescent="0.25">
      <c r="A5" s="74">
        <v>260417010017</v>
      </c>
      <c r="B5" s="75" t="s">
        <v>207</v>
      </c>
      <c r="C5" s="100" t="s">
        <v>121</v>
      </c>
      <c r="D5" s="75" t="s">
        <v>417</v>
      </c>
      <c r="E5" s="84">
        <v>16.399999999999999</v>
      </c>
      <c r="F5" s="83">
        <v>31.2</v>
      </c>
      <c r="G5" s="83">
        <v>34.200000000000003</v>
      </c>
      <c r="H5" s="83">
        <v>7.7</v>
      </c>
      <c r="I5" s="74">
        <v>312</v>
      </c>
      <c r="J5" s="84">
        <v>82.6</v>
      </c>
      <c r="K5" s="84">
        <v>13.9</v>
      </c>
      <c r="L5" s="83">
        <v>29.7</v>
      </c>
      <c r="M5" s="83" t="s">
        <v>418</v>
      </c>
      <c r="N5" s="83">
        <v>7.7</v>
      </c>
      <c r="O5" s="88">
        <v>212.6</v>
      </c>
      <c r="P5" s="83">
        <v>166.2</v>
      </c>
      <c r="Q5" s="81">
        <v>0</v>
      </c>
      <c r="R5" s="81">
        <v>0</v>
      </c>
      <c r="S5" s="81">
        <v>0</v>
      </c>
      <c r="T5" s="81" t="s">
        <v>414</v>
      </c>
      <c r="U5" s="81" t="s">
        <v>414</v>
      </c>
      <c r="V5" s="75" t="s">
        <v>416</v>
      </c>
      <c r="W5" s="75" t="s">
        <v>416</v>
      </c>
      <c r="X5" s="75" t="s">
        <v>416</v>
      </c>
      <c r="Y5" s="75" t="s">
        <v>416</v>
      </c>
      <c r="Z5" s="75" t="s">
        <v>416</v>
      </c>
    </row>
    <row r="6" spans="1:26" x14ac:dyDescent="0.25">
      <c r="A6" s="74">
        <v>260417010018</v>
      </c>
      <c r="B6" s="75" t="s">
        <v>290</v>
      </c>
      <c r="C6" s="100" t="s">
        <v>121</v>
      </c>
      <c r="D6" s="75" t="s">
        <v>419</v>
      </c>
      <c r="E6" s="84">
        <v>16.7</v>
      </c>
      <c r="F6" s="83">
        <v>29.2</v>
      </c>
      <c r="G6" s="83">
        <v>34</v>
      </c>
      <c r="H6" s="83">
        <v>5.8</v>
      </c>
      <c r="I6" s="74">
        <v>173</v>
      </c>
      <c r="J6" s="84">
        <v>78.599999999999994</v>
      </c>
      <c r="K6" s="84">
        <v>15.2</v>
      </c>
      <c r="L6" s="83">
        <v>32.5</v>
      </c>
      <c r="M6" s="85">
        <v>1</v>
      </c>
      <c r="N6" s="83">
        <v>6.6</v>
      </c>
      <c r="O6" s="83">
        <v>164.3</v>
      </c>
      <c r="P6" s="83">
        <v>210</v>
      </c>
      <c r="Q6" s="81">
        <v>0</v>
      </c>
      <c r="R6" s="81">
        <v>0</v>
      </c>
      <c r="S6" s="81">
        <v>0</v>
      </c>
      <c r="T6" s="81" t="s">
        <v>420</v>
      </c>
      <c r="U6" s="82" t="s">
        <v>415</v>
      </c>
      <c r="V6" s="75" t="s">
        <v>416</v>
      </c>
      <c r="W6" s="75" t="s">
        <v>416</v>
      </c>
      <c r="X6" s="75" t="s">
        <v>416</v>
      </c>
      <c r="Y6" s="75" t="s">
        <v>416</v>
      </c>
      <c r="Z6" s="75" t="s">
        <v>416</v>
      </c>
    </row>
    <row r="7" spans="1:26" x14ac:dyDescent="0.25">
      <c r="A7" s="74">
        <v>260417010019</v>
      </c>
      <c r="B7" s="75" t="s">
        <v>218</v>
      </c>
      <c r="C7" s="100" t="s">
        <v>121</v>
      </c>
      <c r="D7" s="75" t="s">
        <v>421</v>
      </c>
      <c r="E7" s="84">
        <v>16.399999999999999</v>
      </c>
      <c r="F7" s="83">
        <v>28</v>
      </c>
      <c r="G7" s="83">
        <v>34</v>
      </c>
      <c r="H7" s="83">
        <v>5.8</v>
      </c>
      <c r="I7" s="74">
        <v>226</v>
      </c>
      <c r="J7" s="84">
        <v>64.099999999999994</v>
      </c>
      <c r="K7" s="84">
        <v>17.100000000000001</v>
      </c>
      <c r="L7" s="83">
        <v>36.5</v>
      </c>
      <c r="M7" s="85" t="s">
        <v>422</v>
      </c>
      <c r="N7" s="83">
        <v>7.1</v>
      </c>
      <c r="O7" s="83">
        <v>148</v>
      </c>
      <c r="P7" s="83">
        <v>112.4</v>
      </c>
      <c r="Q7" s="81">
        <v>0</v>
      </c>
      <c r="R7" s="81">
        <v>0</v>
      </c>
      <c r="S7" s="81">
        <v>0</v>
      </c>
      <c r="T7" s="81" t="s">
        <v>420</v>
      </c>
      <c r="U7" s="82" t="s">
        <v>415</v>
      </c>
      <c r="V7" s="75" t="s">
        <v>416</v>
      </c>
      <c r="W7" s="75" t="s">
        <v>416</v>
      </c>
      <c r="X7" s="75" t="s">
        <v>416</v>
      </c>
      <c r="Y7" s="75" t="s">
        <v>416</v>
      </c>
      <c r="Z7" s="75" t="s">
        <v>416</v>
      </c>
    </row>
    <row r="8" spans="1:26" x14ac:dyDescent="0.25">
      <c r="A8" s="74">
        <v>260417010020</v>
      </c>
      <c r="B8" s="75" t="s">
        <v>219</v>
      </c>
      <c r="C8" s="100" t="s">
        <v>121</v>
      </c>
      <c r="D8" s="75" t="s">
        <v>423</v>
      </c>
      <c r="E8" s="84">
        <v>17.3</v>
      </c>
      <c r="F8" s="83">
        <v>31.2</v>
      </c>
      <c r="G8" s="83">
        <v>33.9</v>
      </c>
      <c r="H8" s="83">
        <v>6.2</v>
      </c>
      <c r="I8" s="74">
        <v>251</v>
      </c>
      <c r="J8" s="84">
        <v>69.3</v>
      </c>
      <c r="K8" s="84">
        <v>13.7</v>
      </c>
      <c r="L8" s="83">
        <v>29.3</v>
      </c>
      <c r="M8" s="85" t="s">
        <v>424</v>
      </c>
      <c r="N8" s="83">
        <v>7.5</v>
      </c>
      <c r="O8" s="83">
        <v>196.1</v>
      </c>
      <c r="P8" s="83">
        <v>225.2</v>
      </c>
      <c r="Q8" s="81">
        <v>0</v>
      </c>
      <c r="R8" s="81">
        <v>0</v>
      </c>
      <c r="S8" s="81">
        <v>0</v>
      </c>
      <c r="T8" s="81" t="s">
        <v>420</v>
      </c>
      <c r="U8" s="82" t="s">
        <v>425</v>
      </c>
      <c r="V8" s="75" t="s">
        <v>416</v>
      </c>
      <c r="W8" s="75" t="s">
        <v>416</v>
      </c>
      <c r="X8" s="75" t="s">
        <v>416</v>
      </c>
      <c r="Y8" s="75" t="s">
        <v>416</v>
      </c>
      <c r="Z8" s="75" t="s">
        <v>416</v>
      </c>
    </row>
    <row r="9" spans="1:26" x14ac:dyDescent="0.25">
      <c r="A9" s="74">
        <v>260417010021</v>
      </c>
      <c r="B9" s="75" t="s">
        <v>221</v>
      </c>
      <c r="C9" s="100" t="s">
        <v>121</v>
      </c>
      <c r="D9" s="75" t="s">
        <v>426</v>
      </c>
      <c r="E9" s="84">
        <v>15.3</v>
      </c>
      <c r="F9" s="83">
        <v>27.4</v>
      </c>
      <c r="G9" s="83">
        <v>33.5</v>
      </c>
      <c r="H9" s="83">
        <v>5.4</v>
      </c>
      <c r="I9" s="74">
        <v>276</v>
      </c>
      <c r="J9" s="84">
        <v>84.5</v>
      </c>
      <c r="K9" s="84">
        <v>20.7</v>
      </c>
      <c r="L9" s="83">
        <v>44.4</v>
      </c>
      <c r="M9" s="83" t="s">
        <v>427</v>
      </c>
      <c r="N9" s="83">
        <v>7</v>
      </c>
      <c r="O9" s="83">
        <v>188.6</v>
      </c>
      <c r="P9" s="83">
        <v>128.30000000000001</v>
      </c>
      <c r="Q9" s="81">
        <v>0</v>
      </c>
      <c r="R9" s="81">
        <v>0</v>
      </c>
      <c r="S9" s="81">
        <v>0</v>
      </c>
      <c r="T9" s="81" t="s">
        <v>420</v>
      </c>
      <c r="U9" s="82" t="s">
        <v>415</v>
      </c>
      <c r="V9" s="75" t="s">
        <v>416</v>
      </c>
      <c r="W9" s="75" t="s">
        <v>416</v>
      </c>
      <c r="X9" s="75" t="s">
        <v>416</v>
      </c>
      <c r="Y9" s="75" t="s">
        <v>416</v>
      </c>
      <c r="Z9" s="75" t="s">
        <v>416</v>
      </c>
    </row>
    <row r="10" spans="1:26" x14ac:dyDescent="0.25">
      <c r="A10" s="74">
        <v>260417010022</v>
      </c>
      <c r="B10" s="75" t="s">
        <v>222</v>
      </c>
      <c r="C10" s="100" t="s">
        <v>121</v>
      </c>
      <c r="D10" s="75" t="s">
        <v>428</v>
      </c>
      <c r="E10" s="84">
        <v>16.600000000000001</v>
      </c>
      <c r="F10" s="83">
        <v>30</v>
      </c>
      <c r="G10" s="83">
        <v>34.299999999999997</v>
      </c>
      <c r="H10" s="83">
        <v>8.6</v>
      </c>
      <c r="I10" s="74">
        <v>339</v>
      </c>
      <c r="J10" s="84">
        <v>67.2</v>
      </c>
      <c r="K10" s="84">
        <v>11.6</v>
      </c>
      <c r="L10" s="83">
        <v>24.8</v>
      </c>
      <c r="M10" s="83" t="s">
        <v>418</v>
      </c>
      <c r="N10" s="83">
        <v>5.8</v>
      </c>
      <c r="O10" s="83">
        <v>140.6</v>
      </c>
      <c r="P10" s="83">
        <v>75.7</v>
      </c>
      <c r="Q10" s="81">
        <v>0</v>
      </c>
      <c r="R10" s="81">
        <v>0</v>
      </c>
      <c r="S10" s="81">
        <v>0</v>
      </c>
      <c r="T10" s="81" t="s">
        <v>420</v>
      </c>
      <c r="U10" s="82" t="s">
        <v>429</v>
      </c>
      <c r="V10" s="75" t="s">
        <v>416</v>
      </c>
      <c r="W10" s="75" t="s">
        <v>416</v>
      </c>
      <c r="X10" s="75" t="s">
        <v>416</v>
      </c>
      <c r="Y10" s="75" t="s">
        <v>416</v>
      </c>
      <c r="Z10" s="75" t="s">
        <v>416</v>
      </c>
    </row>
    <row r="11" spans="1:26" x14ac:dyDescent="0.25">
      <c r="A11" s="74">
        <v>260417010023</v>
      </c>
      <c r="B11" s="75" t="s">
        <v>224</v>
      </c>
      <c r="C11" s="100" t="s">
        <v>121</v>
      </c>
      <c r="D11" s="75" t="s">
        <v>430</v>
      </c>
      <c r="E11" s="84">
        <v>16.399999999999999</v>
      </c>
      <c r="F11" s="83">
        <v>29.8</v>
      </c>
      <c r="G11" s="83">
        <v>34.5</v>
      </c>
      <c r="H11" s="83">
        <v>6.8</v>
      </c>
      <c r="I11" s="74">
        <v>203</v>
      </c>
      <c r="J11" s="84">
        <v>70.400000000000006</v>
      </c>
      <c r="K11" s="84">
        <v>16.5</v>
      </c>
      <c r="L11" s="83">
        <v>35.299999999999997</v>
      </c>
      <c r="M11" s="85">
        <v>1</v>
      </c>
      <c r="N11" s="83">
        <v>6</v>
      </c>
      <c r="O11" s="83">
        <v>145.6</v>
      </c>
      <c r="P11" s="83">
        <v>151.19999999999999</v>
      </c>
      <c r="Q11" s="81">
        <v>0</v>
      </c>
      <c r="R11" s="81">
        <v>0</v>
      </c>
      <c r="S11" s="81">
        <v>0</v>
      </c>
      <c r="T11" s="81" t="s">
        <v>420</v>
      </c>
      <c r="U11" s="82" t="s">
        <v>429</v>
      </c>
      <c r="V11" s="75" t="s">
        <v>416</v>
      </c>
      <c r="W11" s="75" t="s">
        <v>416</v>
      </c>
      <c r="X11" s="75" t="s">
        <v>416</v>
      </c>
      <c r="Y11" s="75" t="s">
        <v>416</v>
      </c>
      <c r="Z11" s="75" t="s">
        <v>416</v>
      </c>
    </row>
    <row r="12" spans="1:26" x14ac:dyDescent="0.25">
      <c r="A12" s="74">
        <v>260417010024</v>
      </c>
      <c r="B12" s="75" t="s">
        <v>225</v>
      </c>
      <c r="C12" s="100" t="s">
        <v>121</v>
      </c>
      <c r="D12" s="75" t="s">
        <v>431</v>
      </c>
      <c r="E12" s="84">
        <v>14.9</v>
      </c>
      <c r="F12" s="83">
        <v>30</v>
      </c>
      <c r="G12" s="83">
        <v>34.4</v>
      </c>
      <c r="H12" s="83">
        <v>5.6</v>
      </c>
      <c r="I12" s="74">
        <v>276</v>
      </c>
      <c r="J12" s="84">
        <v>89</v>
      </c>
      <c r="K12" s="84">
        <v>17.899999999999999</v>
      </c>
      <c r="L12" s="83">
        <v>38.200000000000003</v>
      </c>
      <c r="M12" s="85" t="s">
        <v>432</v>
      </c>
      <c r="N12" s="83">
        <v>6.2</v>
      </c>
      <c r="O12" s="83">
        <v>146.4</v>
      </c>
      <c r="P12" s="83">
        <v>177.2</v>
      </c>
      <c r="Q12" s="81">
        <v>0</v>
      </c>
      <c r="R12" s="81">
        <v>0</v>
      </c>
      <c r="S12" s="81">
        <v>0</v>
      </c>
      <c r="T12" s="81" t="s">
        <v>420</v>
      </c>
      <c r="U12" s="82" t="s">
        <v>415</v>
      </c>
      <c r="V12" s="75" t="s">
        <v>416</v>
      </c>
      <c r="W12" s="75" t="s">
        <v>416</v>
      </c>
      <c r="X12" s="75" t="s">
        <v>416</v>
      </c>
      <c r="Y12" s="75" t="s">
        <v>416</v>
      </c>
      <c r="Z12" s="75" t="s">
        <v>416</v>
      </c>
    </row>
    <row r="13" spans="1:26" x14ac:dyDescent="0.25">
      <c r="A13" s="74">
        <v>260417010025</v>
      </c>
      <c r="B13" s="75" t="s">
        <v>227</v>
      </c>
      <c r="C13" s="100" t="s">
        <v>121</v>
      </c>
      <c r="D13" s="75" t="s">
        <v>433</v>
      </c>
      <c r="E13" s="84">
        <v>17</v>
      </c>
      <c r="F13" s="83">
        <v>31.3</v>
      </c>
      <c r="G13" s="83">
        <v>35</v>
      </c>
      <c r="H13" s="83">
        <v>8</v>
      </c>
      <c r="I13" s="74">
        <v>220</v>
      </c>
      <c r="J13" s="84">
        <v>81.900000000000006</v>
      </c>
      <c r="K13" s="84">
        <v>14.8</v>
      </c>
      <c r="L13" s="83">
        <v>31.7</v>
      </c>
      <c r="M13" s="85">
        <v>1</v>
      </c>
      <c r="N13" s="83">
        <v>5.8</v>
      </c>
      <c r="O13" s="83">
        <v>177.2</v>
      </c>
      <c r="P13" s="83">
        <v>217.6</v>
      </c>
      <c r="Q13" s="81">
        <v>0</v>
      </c>
      <c r="R13" s="81">
        <v>0</v>
      </c>
      <c r="S13" s="81">
        <v>0</v>
      </c>
      <c r="T13" s="81" t="s">
        <v>420</v>
      </c>
      <c r="U13" s="82" t="s">
        <v>415</v>
      </c>
      <c r="V13" s="75" t="s">
        <v>416</v>
      </c>
      <c r="W13" s="75" t="s">
        <v>416</v>
      </c>
      <c r="X13" s="75" t="s">
        <v>416</v>
      </c>
      <c r="Y13" s="75" t="s">
        <v>416</v>
      </c>
      <c r="Z13" s="75" t="s">
        <v>416</v>
      </c>
    </row>
    <row r="14" spans="1:26" ht="26.25" x14ac:dyDescent="0.25">
      <c r="A14" s="74">
        <v>260417010026</v>
      </c>
      <c r="B14" s="75" t="s">
        <v>228</v>
      </c>
      <c r="C14" s="100" t="s">
        <v>190</v>
      </c>
      <c r="D14" s="75" t="s">
        <v>412</v>
      </c>
      <c r="E14" s="84">
        <v>14.6</v>
      </c>
      <c r="F14" s="83">
        <v>33.200000000000003</v>
      </c>
      <c r="G14" s="83">
        <v>34.5</v>
      </c>
      <c r="H14" s="83">
        <v>7.1</v>
      </c>
      <c r="I14" s="74">
        <v>271</v>
      </c>
      <c r="J14" s="84">
        <v>74.8</v>
      </c>
      <c r="K14" s="84">
        <v>9.5</v>
      </c>
      <c r="L14" s="83">
        <v>20.3</v>
      </c>
      <c r="M14" s="83" t="s">
        <v>434</v>
      </c>
      <c r="N14" s="83">
        <v>5.6</v>
      </c>
      <c r="O14" s="83">
        <v>116.1</v>
      </c>
      <c r="P14" s="83">
        <v>60.6</v>
      </c>
      <c r="Q14" s="81">
        <v>0</v>
      </c>
      <c r="R14" s="81">
        <v>0</v>
      </c>
      <c r="S14" s="81">
        <v>0</v>
      </c>
      <c r="T14" s="81" t="s">
        <v>414</v>
      </c>
      <c r="U14" s="82" t="s">
        <v>415</v>
      </c>
      <c r="V14" s="75" t="s">
        <v>416</v>
      </c>
      <c r="W14" s="75" t="s">
        <v>416</v>
      </c>
      <c r="X14" s="75" t="s">
        <v>416</v>
      </c>
      <c r="Y14" s="75" t="s">
        <v>416</v>
      </c>
      <c r="Z14" s="75" t="s">
        <v>416</v>
      </c>
    </row>
    <row r="15" spans="1:26" x14ac:dyDescent="0.25">
      <c r="A15" s="74">
        <v>260417010027</v>
      </c>
      <c r="B15" s="75" t="s">
        <v>231</v>
      </c>
      <c r="C15" s="100" t="s">
        <v>121</v>
      </c>
      <c r="D15" s="75" t="s">
        <v>430</v>
      </c>
      <c r="E15" s="84">
        <v>14.7</v>
      </c>
      <c r="F15" s="83">
        <v>27.7</v>
      </c>
      <c r="G15" s="83">
        <v>32.799999999999997</v>
      </c>
      <c r="H15" s="83">
        <v>7.4</v>
      </c>
      <c r="I15" s="74">
        <v>215</v>
      </c>
      <c r="J15" s="84">
        <v>80</v>
      </c>
      <c r="K15" s="84">
        <v>16.3</v>
      </c>
      <c r="L15" s="83">
        <v>34.799999999999997</v>
      </c>
      <c r="M15" s="85">
        <v>1</v>
      </c>
      <c r="N15" s="83">
        <v>5.3</v>
      </c>
      <c r="O15" s="83">
        <v>164.2</v>
      </c>
      <c r="P15" s="83">
        <v>65.3</v>
      </c>
      <c r="Q15" s="81">
        <v>0</v>
      </c>
      <c r="R15" s="81">
        <v>0</v>
      </c>
      <c r="S15" s="81">
        <v>0</v>
      </c>
      <c r="T15" s="81" t="s">
        <v>420</v>
      </c>
      <c r="U15" s="81" t="s">
        <v>414</v>
      </c>
      <c r="V15" s="75" t="s">
        <v>416</v>
      </c>
      <c r="W15" s="75" t="s">
        <v>416</v>
      </c>
      <c r="X15" s="75" t="s">
        <v>416</v>
      </c>
      <c r="Y15" s="75" t="s">
        <v>416</v>
      </c>
      <c r="Z15" s="75" t="s">
        <v>416</v>
      </c>
    </row>
    <row r="16" spans="1:26" x14ac:dyDescent="0.25">
      <c r="A16" s="74">
        <v>260417010028</v>
      </c>
      <c r="B16" s="75" t="s">
        <v>238</v>
      </c>
      <c r="C16" s="100" t="s">
        <v>121</v>
      </c>
      <c r="D16" s="75" t="s">
        <v>412</v>
      </c>
      <c r="E16" s="85">
        <v>13.9</v>
      </c>
      <c r="F16" s="83">
        <v>30.5</v>
      </c>
      <c r="G16" s="83">
        <v>34.200000000000003</v>
      </c>
      <c r="H16" s="83">
        <v>7.3</v>
      </c>
      <c r="I16" s="74">
        <v>192</v>
      </c>
      <c r="J16" s="84">
        <v>83</v>
      </c>
      <c r="K16" s="84">
        <v>18.3</v>
      </c>
      <c r="L16" s="83">
        <v>39.299999999999997</v>
      </c>
      <c r="M16" s="85" t="s">
        <v>422</v>
      </c>
      <c r="N16" s="83">
        <v>6.4</v>
      </c>
      <c r="O16" s="83">
        <v>153.9</v>
      </c>
      <c r="P16" s="83">
        <v>92.7</v>
      </c>
      <c r="Q16" s="81">
        <v>0</v>
      </c>
      <c r="R16" s="81">
        <v>0</v>
      </c>
      <c r="S16" s="81">
        <v>0</v>
      </c>
      <c r="T16" s="81" t="s">
        <v>420</v>
      </c>
      <c r="U16" s="81" t="s">
        <v>414</v>
      </c>
      <c r="V16" s="75" t="s">
        <v>416</v>
      </c>
      <c r="W16" s="75" t="s">
        <v>416</v>
      </c>
      <c r="X16" s="75" t="s">
        <v>416</v>
      </c>
      <c r="Y16" s="75" t="s">
        <v>416</v>
      </c>
      <c r="Z16" s="75" t="s">
        <v>416</v>
      </c>
    </row>
    <row r="17" spans="1:26" x14ac:dyDescent="0.25">
      <c r="A17" s="74">
        <v>260417010029</v>
      </c>
      <c r="B17" s="75" t="s">
        <v>241</v>
      </c>
      <c r="C17" s="100" t="s">
        <v>121</v>
      </c>
      <c r="D17" s="75" t="s">
        <v>423</v>
      </c>
      <c r="E17" s="84">
        <v>17.100000000000001</v>
      </c>
      <c r="F17" s="83">
        <v>32.799999999999997</v>
      </c>
      <c r="G17" s="83">
        <v>35</v>
      </c>
      <c r="H17" s="83">
        <v>6.6</v>
      </c>
      <c r="I17" s="74">
        <v>193</v>
      </c>
      <c r="J17" s="84">
        <v>84.3</v>
      </c>
      <c r="K17" s="84">
        <v>17.600000000000001</v>
      </c>
      <c r="L17" s="83">
        <v>37.700000000000003</v>
      </c>
      <c r="M17" s="85">
        <v>1</v>
      </c>
      <c r="N17" s="83">
        <v>7.3</v>
      </c>
      <c r="O17" s="83">
        <v>200.9</v>
      </c>
      <c r="P17" s="83">
        <v>117</v>
      </c>
      <c r="Q17" s="81">
        <v>0</v>
      </c>
      <c r="R17" s="81">
        <v>0</v>
      </c>
      <c r="S17" s="81">
        <v>0</v>
      </c>
      <c r="T17" s="81" t="s">
        <v>420</v>
      </c>
      <c r="U17" s="81" t="s">
        <v>414</v>
      </c>
      <c r="V17" s="75" t="s">
        <v>416</v>
      </c>
      <c r="W17" s="75" t="s">
        <v>416</v>
      </c>
      <c r="X17" s="75" t="s">
        <v>416</v>
      </c>
      <c r="Y17" s="75" t="s">
        <v>416</v>
      </c>
      <c r="Z17" s="75" t="s">
        <v>416</v>
      </c>
    </row>
    <row r="18" spans="1:26" x14ac:dyDescent="0.25">
      <c r="A18" s="74">
        <v>260417010030</v>
      </c>
      <c r="B18" s="75" t="s">
        <v>243</v>
      </c>
      <c r="C18" s="100" t="s">
        <v>121</v>
      </c>
      <c r="D18" s="75" t="s">
        <v>433</v>
      </c>
      <c r="E18" s="84">
        <v>17.2</v>
      </c>
      <c r="F18" s="83">
        <v>31.4</v>
      </c>
      <c r="G18" s="83">
        <v>34.700000000000003</v>
      </c>
      <c r="H18" s="83">
        <v>4.9000000000000004</v>
      </c>
      <c r="I18" s="74">
        <v>251</v>
      </c>
      <c r="J18" s="84">
        <v>85.2</v>
      </c>
      <c r="K18" s="84">
        <v>11.4</v>
      </c>
      <c r="L18" s="83">
        <v>24.3</v>
      </c>
      <c r="M18" s="83" t="s">
        <v>418</v>
      </c>
      <c r="N18" s="83">
        <v>7.5</v>
      </c>
      <c r="O18" s="83">
        <v>164.1</v>
      </c>
      <c r="P18" s="83">
        <v>208.5</v>
      </c>
      <c r="Q18" s="81">
        <v>0</v>
      </c>
      <c r="R18" s="81">
        <v>0</v>
      </c>
      <c r="S18" s="81">
        <v>0</v>
      </c>
      <c r="T18" s="81" t="s">
        <v>420</v>
      </c>
      <c r="U18" s="81" t="s">
        <v>414</v>
      </c>
      <c r="V18" s="75" t="s">
        <v>416</v>
      </c>
      <c r="W18" s="75" t="s">
        <v>416</v>
      </c>
      <c r="X18" s="75" t="s">
        <v>416</v>
      </c>
      <c r="Y18" s="75" t="s">
        <v>416</v>
      </c>
      <c r="Z18" s="75" t="s">
        <v>416</v>
      </c>
    </row>
    <row r="19" spans="1:26" x14ac:dyDescent="0.25">
      <c r="A19" s="74">
        <v>260417010031</v>
      </c>
      <c r="B19" s="75" t="s">
        <v>244</v>
      </c>
      <c r="C19" s="100" t="s">
        <v>121</v>
      </c>
      <c r="D19" s="75" t="s">
        <v>417</v>
      </c>
      <c r="E19" s="84">
        <v>16.8</v>
      </c>
      <c r="F19" s="83">
        <v>30.2</v>
      </c>
      <c r="G19" s="83">
        <v>34.9</v>
      </c>
      <c r="H19" s="83">
        <v>7.3</v>
      </c>
      <c r="I19" s="74">
        <v>366</v>
      </c>
      <c r="J19" s="84">
        <v>77.400000000000006</v>
      </c>
      <c r="K19" s="84">
        <v>16</v>
      </c>
      <c r="L19" s="83">
        <v>34.299999999999997</v>
      </c>
      <c r="M19" s="85" t="s">
        <v>422</v>
      </c>
      <c r="N19" s="85">
        <v>8.6</v>
      </c>
      <c r="O19" s="88">
        <v>229.3</v>
      </c>
      <c r="P19" s="83">
        <v>202.5</v>
      </c>
      <c r="Q19" s="81">
        <v>0</v>
      </c>
      <c r="R19" s="81">
        <v>0</v>
      </c>
      <c r="S19" s="81">
        <v>0</v>
      </c>
      <c r="T19" s="81" t="s">
        <v>420</v>
      </c>
      <c r="U19" s="81" t="s">
        <v>414</v>
      </c>
      <c r="V19" s="75" t="s">
        <v>416</v>
      </c>
      <c r="W19" s="75" t="s">
        <v>416</v>
      </c>
      <c r="X19" s="75" t="s">
        <v>416</v>
      </c>
      <c r="Y19" s="75" t="s">
        <v>416</v>
      </c>
      <c r="Z19" s="75" t="s">
        <v>416</v>
      </c>
    </row>
    <row r="20" spans="1:26" x14ac:dyDescent="0.25">
      <c r="A20" s="74">
        <v>260417010032</v>
      </c>
      <c r="B20" s="75" t="s">
        <v>245</v>
      </c>
      <c r="C20" s="100" t="s">
        <v>121</v>
      </c>
      <c r="D20" s="75" t="s">
        <v>435</v>
      </c>
      <c r="E20" s="84">
        <v>16.2</v>
      </c>
      <c r="F20" s="83">
        <v>30.1</v>
      </c>
      <c r="G20" s="83">
        <v>34.6</v>
      </c>
      <c r="H20" s="83">
        <v>7.7</v>
      </c>
      <c r="I20" s="74">
        <v>216</v>
      </c>
      <c r="J20" s="84">
        <v>82.6</v>
      </c>
      <c r="K20" s="84">
        <v>17.7</v>
      </c>
      <c r="L20" s="83">
        <v>37.9</v>
      </c>
      <c r="M20" s="85">
        <v>1</v>
      </c>
      <c r="N20" s="85">
        <v>8</v>
      </c>
      <c r="O20" s="83">
        <v>196.6</v>
      </c>
      <c r="P20" s="83">
        <v>253.1</v>
      </c>
      <c r="Q20" s="81">
        <v>0</v>
      </c>
      <c r="R20" s="81">
        <v>0</v>
      </c>
      <c r="S20" s="81">
        <v>0</v>
      </c>
      <c r="T20" s="81" t="s">
        <v>420</v>
      </c>
      <c r="U20" s="82" t="s">
        <v>415</v>
      </c>
      <c r="V20" s="75" t="s">
        <v>416</v>
      </c>
      <c r="W20" s="75" t="s">
        <v>416</v>
      </c>
      <c r="X20" s="75" t="s">
        <v>416</v>
      </c>
      <c r="Y20" s="75" t="s">
        <v>416</v>
      </c>
      <c r="Z20" s="75" t="s">
        <v>416</v>
      </c>
    </row>
    <row r="21" spans="1:26" x14ac:dyDescent="0.25">
      <c r="A21" s="74">
        <v>260417010033</v>
      </c>
      <c r="B21" s="75" t="s">
        <v>246</v>
      </c>
      <c r="C21" s="100" t="s">
        <v>121</v>
      </c>
      <c r="D21" s="75" t="s">
        <v>436</v>
      </c>
      <c r="E21" s="84">
        <v>17.7</v>
      </c>
      <c r="F21" s="83">
        <v>30.2</v>
      </c>
      <c r="G21" s="83">
        <v>35.1</v>
      </c>
      <c r="H21" s="83">
        <v>6.9</v>
      </c>
      <c r="I21" s="74">
        <v>350</v>
      </c>
      <c r="J21" s="84">
        <v>74.900000000000006</v>
      </c>
      <c r="K21" s="84">
        <v>20.399999999999999</v>
      </c>
      <c r="L21" s="83">
        <v>43.6</v>
      </c>
      <c r="M21" s="85" t="s">
        <v>432</v>
      </c>
      <c r="N21" s="83">
        <v>7.7</v>
      </c>
      <c r="O21" s="83">
        <v>183.3</v>
      </c>
      <c r="P21" s="83">
        <v>129</v>
      </c>
      <c r="Q21" s="81">
        <v>0</v>
      </c>
      <c r="R21" s="81">
        <v>0</v>
      </c>
      <c r="S21" s="81">
        <v>0</v>
      </c>
      <c r="T21" s="81" t="s">
        <v>420</v>
      </c>
      <c r="U21" s="82" t="s">
        <v>425</v>
      </c>
      <c r="V21" s="75" t="s">
        <v>416</v>
      </c>
      <c r="W21" s="75" t="s">
        <v>416</v>
      </c>
      <c r="X21" s="75" t="s">
        <v>416</v>
      </c>
      <c r="Y21" s="75" t="s">
        <v>416</v>
      </c>
      <c r="Z21" s="75" t="s">
        <v>416</v>
      </c>
    </row>
    <row r="22" spans="1:26" x14ac:dyDescent="0.25">
      <c r="A22" s="74">
        <v>260417010034</v>
      </c>
      <c r="B22" s="75" t="s">
        <v>297</v>
      </c>
      <c r="C22" s="100" t="s">
        <v>121</v>
      </c>
      <c r="D22" s="75" t="s">
        <v>437</v>
      </c>
      <c r="E22" s="84">
        <v>15.9</v>
      </c>
      <c r="F22" s="83">
        <v>29.3</v>
      </c>
      <c r="G22" s="83">
        <v>34.799999999999997</v>
      </c>
      <c r="H22" s="84">
        <v>5.0999999999999996</v>
      </c>
      <c r="I22" s="74">
        <v>295</v>
      </c>
      <c r="J22" s="84">
        <v>79.400000000000006</v>
      </c>
      <c r="K22" s="85">
        <v>21.6</v>
      </c>
      <c r="L22" s="85">
        <v>48.2</v>
      </c>
      <c r="M22" s="83" t="s">
        <v>427</v>
      </c>
      <c r="N22" s="83">
        <v>4.3</v>
      </c>
      <c r="O22" s="83">
        <v>175.4</v>
      </c>
      <c r="P22" s="83">
        <v>79.7</v>
      </c>
      <c r="Q22" s="81">
        <v>0</v>
      </c>
      <c r="R22" s="81">
        <v>0</v>
      </c>
      <c r="S22" s="81">
        <v>0</v>
      </c>
      <c r="T22" s="81" t="s">
        <v>420</v>
      </c>
      <c r="U22" s="81" t="s">
        <v>414</v>
      </c>
      <c r="V22" s="75" t="s">
        <v>416</v>
      </c>
      <c r="W22" s="75" t="s">
        <v>416</v>
      </c>
      <c r="X22" s="75" t="s">
        <v>416</v>
      </c>
      <c r="Y22" s="75" t="s">
        <v>416</v>
      </c>
      <c r="Z22" s="75" t="s">
        <v>416</v>
      </c>
    </row>
    <row r="23" spans="1:26" x14ac:dyDescent="0.25">
      <c r="A23" s="74">
        <v>260417010035</v>
      </c>
      <c r="B23" s="75" t="s">
        <v>300</v>
      </c>
      <c r="C23" s="100" t="s">
        <v>121</v>
      </c>
      <c r="D23" s="75" t="s">
        <v>438</v>
      </c>
      <c r="E23" s="84">
        <v>15.7</v>
      </c>
      <c r="F23" s="83">
        <v>31</v>
      </c>
      <c r="G23" s="83">
        <v>34.799999999999997</v>
      </c>
      <c r="H23" s="83">
        <v>3.7</v>
      </c>
      <c r="I23" s="99">
        <v>145</v>
      </c>
      <c r="J23" s="84">
        <v>78.2</v>
      </c>
      <c r="K23" s="84">
        <v>12.2</v>
      </c>
      <c r="L23" s="83">
        <v>26.1</v>
      </c>
      <c r="M23" s="85">
        <v>1</v>
      </c>
      <c r="N23" s="83">
        <v>6.6</v>
      </c>
      <c r="O23" s="83">
        <v>155</v>
      </c>
      <c r="P23" s="83">
        <v>81.599999999999994</v>
      </c>
      <c r="Q23" s="81">
        <v>0</v>
      </c>
      <c r="R23" s="81">
        <v>0</v>
      </c>
      <c r="S23" s="81">
        <v>0</v>
      </c>
      <c r="T23" s="81" t="s">
        <v>420</v>
      </c>
      <c r="U23" s="82" t="s">
        <v>415</v>
      </c>
      <c r="V23" s="75" t="s">
        <v>416</v>
      </c>
      <c r="W23" s="75" t="s">
        <v>416</v>
      </c>
      <c r="X23" s="75" t="s">
        <v>416</v>
      </c>
      <c r="Y23" s="75" t="s">
        <v>416</v>
      </c>
      <c r="Z23" s="75" t="s">
        <v>416</v>
      </c>
    </row>
    <row r="24" spans="1:26" x14ac:dyDescent="0.25">
      <c r="A24" s="74">
        <v>260417010036</v>
      </c>
      <c r="B24" s="75" t="s">
        <v>250</v>
      </c>
      <c r="C24" s="100" t="s">
        <v>121</v>
      </c>
      <c r="D24" s="75" t="s">
        <v>439</v>
      </c>
      <c r="E24" s="84">
        <v>15.4</v>
      </c>
      <c r="F24" s="83">
        <v>29.1</v>
      </c>
      <c r="G24" s="83">
        <v>35</v>
      </c>
      <c r="H24" s="84">
        <v>5.0999999999999996</v>
      </c>
      <c r="I24" s="74">
        <v>248</v>
      </c>
      <c r="J24" s="84">
        <v>66.3</v>
      </c>
      <c r="K24" s="85">
        <v>23</v>
      </c>
      <c r="L24" s="85">
        <v>49.2</v>
      </c>
      <c r="M24" s="85" t="s">
        <v>413</v>
      </c>
      <c r="N24" s="83">
        <v>6</v>
      </c>
      <c r="O24" s="83">
        <v>181</v>
      </c>
      <c r="P24" s="83">
        <v>161.19999999999999</v>
      </c>
      <c r="Q24" s="81">
        <v>0</v>
      </c>
      <c r="R24" s="81">
        <v>0</v>
      </c>
      <c r="S24" s="81">
        <v>0</v>
      </c>
      <c r="T24" s="81" t="s">
        <v>420</v>
      </c>
      <c r="U24" s="81" t="s">
        <v>414</v>
      </c>
      <c r="V24" s="75" t="s">
        <v>416</v>
      </c>
      <c r="W24" s="75" t="s">
        <v>416</v>
      </c>
      <c r="X24" s="75" t="s">
        <v>416</v>
      </c>
      <c r="Y24" s="75" t="s">
        <v>416</v>
      </c>
      <c r="Z24" s="75" t="s">
        <v>416</v>
      </c>
    </row>
    <row r="25" spans="1:26" x14ac:dyDescent="0.25">
      <c r="A25" s="74">
        <v>260417010037</v>
      </c>
      <c r="B25" s="75" t="s">
        <v>257</v>
      </c>
      <c r="C25" s="100" t="s">
        <v>121</v>
      </c>
      <c r="D25" s="75" t="s">
        <v>417</v>
      </c>
      <c r="E25" s="84">
        <v>16.8</v>
      </c>
      <c r="F25" s="83">
        <v>33.200000000000003</v>
      </c>
      <c r="G25" s="83">
        <v>34.4</v>
      </c>
      <c r="H25" s="83">
        <v>5.7</v>
      </c>
      <c r="I25" s="74">
        <v>157</v>
      </c>
      <c r="J25" s="84">
        <v>89.2</v>
      </c>
      <c r="K25" s="84">
        <v>10.7</v>
      </c>
      <c r="L25" s="83">
        <v>22.8</v>
      </c>
      <c r="M25" s="83" t="s">
        <v>427</v>
      </c>
      <c r="N25" s="83">
        <v>6.8</v>
      </c>
      <c r="O25" s="83">
        <v>169.1</v>
      </c>
      <c r="P25" s="83">
        <v>82.1</v>
      </c>
      <c r="Q25" s="81">
        <v>0</v>
      </c>
      <c r="R25" s="81">
        <v>0</v>
      </c>
      <c r="S25" s="81">
        <v>0</v>
      </c>
      <c r="T25" s="81" t="s">
        <v>420</v>
      </c>
      <c r="U25" s="82" t="s">
        <v>440</v>
      </c>
      <c r="V25" s="75" t="s">
        <v>416</v>
      </c>
      <c r="W25" s="75" t="s">
        <v>416</v>
      </c>
      <c r="X25" s="75" t="s">
        <v>416</v>
      </c>
      <c r="Y25" s="75" t="s">
        <v>416</v>
      </c>
      <c r="Z25" s="75" t="s">
        <v>416</v>
      </c>
    </row>
    <row r="26" spans="1:26" x14ac:dyDescent="0.25">
      <c r="A26" s="74">
        <v>260417010038</v>
      </c>
      <c r="B26" s="75" t="s">
        <v>261</v>
      </c>
      <c r="C26" s="100" t="s">
        <v>121</v>
      </c>
      <c r="D26" s="75" t="s">
        <v>441</v>
      </c>
      <c r="E26" s="84">
        <v>16.7</v>
      </c>
      <c r="F26" s="83">
        <v>31.3</v>
      </c>
      <c r="G26" s="83">
        <v>34.700000000000003</v>
      </c>
      <c r="H26" s="83">
        <v>5.8</v>
      </c>
      <c r="I26" s="74">
        <v>284</v>
      </c>
      <c r="J26" s="84">
        <v>86.4</v>
      </c>
      <c r="K26" s="84">
        <v>15.1</v>
      </c>
      <c r="L26" s="83">
        <v>32.299999999999997</v>
      </c>
      <c r="M26" s="83" t="s">
        <v>418</v>
      </c>
      <c r="N26" s="83">
        <v>4</v>
      </c>
      <c r="O26" s="83">
        <v>169.2</v>
      </c>
      <c r="P26" s="83">
        <v>97</v>
      </c>
      <c r="Q26" s="81">
        <v>0</v>
      </c>
      <c r="R26" s="81">
        <v>0</v>
      </c>
      <c r="S26" s="82">
        <v>10</v>
      </c>
      <c r="T26" s="81" t="s">
        <v>420</v>
      </c>
      <c r="U26" s="82" t="s">
        <v>415</v>
      </c>
      <c r="V26" s="75" t="s">
        <v>416</v>
      </c>
      <c r="W26" s="75" t="s">
        <v>416</v>
      </c>
      <c r="X26" s="75" t="s">
        <v>416</v>
      </c>
      <c r="Y26" s="75" t="s">
        <v>416</v>
      </c>
      <c r="Z26" s="75" t="s">
        <v>416</v>
      </c>
    </row>
    <row r="27" spans="1:26" x14ac:dyDescent="0.25">
      <c r="A27" s="74">
        <v>260417010039</v>
      </c>
      <c r="B27" s="75" t="s">
        <v>262</v>
      </c>
      <c r="C27" s="100" t="s">
        <v>121</v>
      </c>
      <c r="D27" s="75" t="s">
        <v>442</v>
      </c>
      <c r="E27" s="84">
        <v>16.5</v>
      </c>
      <c r="F27" s="83">
        <v>30.6</v>
      </c>
      <c r="G27" s="83">
        <v>34.1</v>
      </c>
      <c r="H27" s="83">
        <v>6.6</v>
      </c>
      <c r="I27" s="74">
        <v>162</v>
      </c>
      <c r="J27" s="84">
        <v>78.7</v>
      </c>
      <c r="K27" s="84">
        <v>18</v>
      </c>
      <c r="L27" s="83">
        <v>38.5</v>
      </c>
      <c r="M27" s="85">
        <v>1</v>
      </c>
      <c r="N27" s="83">
        <v>6.9</v>
      </c>
      <c r="O27" s="88">
        <v>238.7</v>
      </c>
      <c r="P27" s="83">
        <v>134</v>
      </c>
      <c r="Q27" s="81">
        <v>0</v>
      </c>
      <c r="R27" s="81">
        <v>0</v>
      </c>
      <c r="S27" s="82">
        <v>10</v>
      </c>
      <c r="T27" s="81" t="s">
        <v>420</v>
      </c>
      <c r="U27" s="81" t="s">
        <v>414</v>
      </c>
      <c r="V27" s="75" t="s">
        <v>416</v>
      </c>
      <c r="W27" s="75" t="s">
        <v>416</v>
      </c>
      <c r="X27" s="75" t="s">
        <v>416</v>
      </c>
      <c r="Y27" s="75" t="s">
        <v>416</v>
      </c>
      <c r="Z27" s="75" t="s">
        <v>416</v>
      </c>
    </row>
    <row r="28" spans="1:26" x14ac:dyDescent="0.25">
      <c r="A28" s="74">
        <v>260417010040</v>
      </c>
      <c r="B28" s="75" t="s">
        <v>263</v>
      </c>
      <c r="C28" s="100" t="s">
        <v>121</v>
      </c>
      <c r="D28" s="75" t="s">
        <v>438</v>
      </c>
      <c r="E28" s="84">
        <v>15.2</v>
      </c>
      <c r="F28" s="83">
        <v>30.9</v>
      </c>
      <c r="G28" s="83">
        <v>34.299999999999997</v>
      </c>
      <c r="H28" s="83">
        <v>4.5999999999999996</v>
      </c>
      <c r="I28" s="74">
        <v>187</v>
      </c>
      <c r="J28" s="84">
        <v>78.3</v>
      </c>
      <c r="K28" s="84">
        <v>10.1</v>
      </c>
      <c r="L28" s="83">
        <v>21.6</v>
      </c>
      <c r="M28" s="83" t="s">
        <v>418</v>
      </c>
      <c r="N28" s="83">
        <v>4.5</v>
      </c>
      <c r="O28" s="83">
        <v>161.9</v>
      </c>
      <c r="P28" s="83">
        <v>56.1</v>
      </c>
      <c r="Q28" s="81">
        <v>0</v>
      </c>
      <c r="R28" s="81">
        <v>0</v>
      </c>
      <c r="S28" s="81">
        <v>0</v>
      </c>
      <c r="T28" s="81" t="s">
        <v>420</v>
      </c>
      <c r="U28" s="81" t="s">
        <v>414</v>
      </c>
      <c r="V28" s="75" t="s">
        <v>416</v>
      </c>
      <c r="W28" s="75" t="s">
        <v>416</v>
      </c>
      <c r="X28" s="75" t="s">
        <v>416</v>
      </c>
      <c r="Y28" s="75" t="s">
        <v>416</v>
      </c>
      <c r="Z28" s="75" t="s">
        <v>416</v>
      </c>
    </row>
    <row r="29" spans="1:26" x14ac:dyDescent="0.25">
      <c r="A29" s="74">
        <v>260417010041</v>
      </c>
      <c r="B29" s="75" t="s">
        <v>268</v>
      </c>
      <c r="C29" s="100" t="s">
        <v>121</v>
      </c>
      <c r="D29" s="75" t="s">
        <v>443</v>
      </c>
      <c r="E29" s="84">
        <v>17.8</v>
      </c>
      <c r="F29" s="83">
        <v>30.3</v>
      </c>
      <c r="G29" s="83">
        <v>34.6</v>
      </c>
      <c r="H29" s="83">
        <v>5.5</v>
      </c>
      <c r="I29" s="74">
        <v>165</v>
      </c>
      <c r="J29" s="84">
        <v>83.8</v>
      </c>
      <c r="K29" s="84">
        <v>16.600000000000001</v>
      </c>
      <c r="L29" s="83">
        <v>35.4</v>
      </c>
      <c r="M29" s="83" t="s">
        <v>418</v>
      </c>
      <c r="N29" s="83">
        <v>5.6</v>
      </c>
      <c r="O29" s="83">
        <v>149</v>
      </c>
      <c r="P29" s="98">
        <v>543.6</v>
      </c>
      <c r="Q29" s="81">
        <v>0</v>
      </c>
      <c r="R29" s="81">
        <v>0</v>
      </c>
      <c r="S29" s="81">
        <v>0</v>
      </c>
      <c r="T29" s="81" t="s">
        <v>420</v>
      </c>
      <c r="U29" s="82" t="s">
        <v>415</v>
      </c>
      <c r="V29" s="75" t="s">
        <v>416</v>
      </c>
      <c r="W29" s="75" t="s">
        <v>416</v>
      </c>
      <c r="X29" s="75" t="s">
        <v>416</v>
      </c>
      <c r="Y29" s="75" t="s">
        <v>416</v>
      </c>
      <c r="Z29" s="75" t="s">
        <v>416</v>
      </c>
    </row>
    <row r="30" spans="1:26" x14ac:dyDescent="0.25">
      <c r="A30" s="74">
        <v>260417010042</v>
      </c>
      <c r="B30" s="75" t="s">
        <v>270</v>
      </c>
      <c r="C30" s="100" t="s">
        <v>121</v>
      </c>
      <c r="D30" s="75" t="s">
        <v>412</v>
      </c>
      <c r="E30" s="84">
        <v>15.6</v>
      </c>
      <c r="F30" s="83">
        <v>29.8</v>
      </c>
      <c r="G30" s="83">
        <v>34.700000000000003</v>
      </c>
      <c r="H30" s="83">
        <v>6.1</v>
      </c>
      <c r="I30" s="74">
        <v>331</v>
      </c>
      <c r="J30" s="84">
        <v>77.400000000000006</v>
      </c>
      <c r="K30" s="84">
        <v>16.2</v>
      </c>
      <c r="L30" s="83">
        <v>34.6</v>
      </c>
      <c r="M30" s="85" t="s">
        <v>432</v>
      </c>
      <c r="N30" s="83">
        <v>7.7</v>
      </c>
      <c r="O30" s="83">
        <v>146.30000000000001</v>
      </c>
      <c r="P30" s="83">
        <v>161.19999999999999</v>
      </c>
      <c r="Q30" s="81">
        <v>0</v>
      </c>
      <c r="R30" s="81">
        <v>0</v>
      </c>
      <c r="S30" s="81">
        <v>0</v>
      </c>
      <c r="T30" s="81" t="s">
        <v>420</v>
      </c>
      <c r="U30" s="81" t="s">
        <v>414</v>
      </c>
      <c r="V30" s="75" t="s">
        <v>416</v>
      </c>
      <c r="W30" s="75" t="s">
        <v>416</v>
      </c>
      <c r="X30" s="75" t="s">
        <v>416</v>
      </c>
      <c r="Y30" s="75" t="s">
        <v>416</v>
      </c>
      <c r="Z30" s="75" t="s">
        <v>416</v>
      </c>
    </row>
    <row r="31" spans="1:26" x14ac:dyDescent="0.25">
      <c r="A31" s="74">
        <v>260417010043</v>
      </c>
      <c r="B31" s="75" t="s">
        <v>291</v>
      </c>
      <c r="C31" s="100" t="s">
        <v>121</v>
      </c>
      <c r="D31" s="75" t="s">
        <v>428</v>
      </c>
      <c r="E31" s="84">
        <v>15.6</v>
      </c>
      <c r="F31" s="83">
        <v>31.3</v>
      </c>
      <c r="G31" s="83">
        <v>34.6</v>
      </c>
      <c r="H31" s="83">
        <v>6.4</v>
      </c>
      <c r="I31" s="74">
        <v>243</v>
      </c>
      <c r="J31" s="84">
        <v>69.8</v>
      </c>
      <c r="K31" s="84">
        <v>12.2</v>
      </c>
      <c r="L31" s="83">
        <v>26.1</v>
      </c>
      <c r="M31" s="83" t="s">
        <v>418</v>
      </c>
      <c r="N31" s="83">
        <v>6.1</v>
      </c>
      <c r="O31" s="83">
        <v>144.9</v>
      </c>
      <c r="P31" s="83">
        <v>52.5</v>
      </c>
      <c r="Q31" s="81">
        <v>0</v>
      </c>
      <c r="R31" s="81">
        <v>0</v>
      </c>
      <c r="S31" s="81">
        <v>0</v>
      </c>
      <c r="T31" s="81" t="s">
        <v>420</v>
      </c>
      <c r="U31" s="82" t="s">
        <v>444</v>
      </c>
      <c r="V31" s="75" t="s">
        <v>416</v>
      </c>
      <c r="W31" s="75" t="s">
        <v>416</v>
      </c>
      <c r="X31" s="75" t="s">
        <v>416</v>
      </c>
      <c r="Y31" s="75" t="s">
        <v>416</v>
      </c>
      <c r="Z31" s="75" t="s">
        <v>416</v>
      </c>
    </row>
    <row r="32" spans="1:26" ht="26.25" x14ac:dyDescent="0.25">
      <c r="A32" s="74">
        <v>260417010044</v>
      </c>
      <c r="B32" s="75" t="s">
        <v>252</v>
      </c>
      <c r="C32" s="100" t="s">
        <v>121</v>
      </c>
      <c r="D32" s="75" t="s">
        <v>417</v>
      </c>
      <c r="E32" s="84">
        <v>16.8</v>
      </c>
      <c r="F32" s="83">
        <v>32.799999999999997</v>
      </c>
      <c r="G32" s="83">
        <v>35.9</v>
      </c>
      <c r="H32" s="83">
        <v>5.4</v>
      </c>
      <c r="I32" s="74">
        <v>222</v>
      </c>
      <c r="J32" s="88">
        <v>125.8</v>
      </c>
      <c r="K32" s="84">
        <v>10.4</v>
      </c>
      <c r="L32" s="83">
        <v>22.3</v>
      </c>
      <c r="M32" s="83" t="s">
        <v>427</v>
      </c>
      <c r="N32" s="83">
        <v>5.6</v>
      </c>
      <c r="O32" s="83">
        <v>164.9</v>
      </c>
      <c r="P32" s="83">
        <v>102.5</v>
      </c>
      <c r="Q32" s="81">
        <v>0</v>
      </c>
      <c r="R32" s="81">
        <v>0</v>
      </c>
      <c r="S32" s="81">
        <v>0</v>
      </c>
      <c r="T32" s="81" t="s">
        <v>420</v>
      </c>
      <c r="U32" s="82" t="s">
        <v>425</v>
      </c>
      <c r="V32" s="75" t="s">
        <v>416</v>
      </c>
      <c r="W32" s="75" t="s">
        <v>416</v>
      </c>
      <c r="X32" s="75" t="s">
        <v>416</v>
      </c>
      <c r="Y32" s="75" t="s">
        <v>416</v>
      </c>
      <c r="Z32" s="75" t="s">
        <v>416</v>
      </c>
    </row>
    <row r="33" spans="1:26" x14ac:dyDescent="0.25">
      <c r="A33" s="74">
        <v>260417010045</v>
      </c>
      <c r="B33" s="75" t="s">
        <v>229</v>
      </c>
      <c r="C33" s="100" t="s">
        <v>121</v>
      </c>
      <c r="D33" s="75" t="s">
        <v>445</v>
      </c>
      <c r="E33" s="84">
        <v>16.5</v>
      </c>
      <c r="F33" s="83">
        <v>30.1</v>
      </c>
      <c r="G33" s="83">
        <v>34.799999999999997</v>
      </c>
      <c r="H33" s="85">
        <v>10.4</v>
      </c>
      <c r="I33" s="74">
        <v>329</v>
      </c>
      <c r="J33" s="84">
        <v>82.7</v>
      </c>
      <c r="K33" s="84">
        <v>11.4</v>
      </c>
      <c r="L33" s="83">
        <v>24.5</v>
      </c>
      <c r="M33" s="83" t="s">
        <v>427</v>
      </c>
      <c r="N33" s="83">
        <v>6</v>
      </c>
      <c r="O33" s="83">
        <v>165.1</v>
      </c>
      <c r="P33" s="83">
        <v>66.599999999999994</v>
      </c>
      <c r="Q33" s="81">
        <v>0</v>
      </c>
      <c r="R33" s="81">
        <v>0</v>
      </c>
      <c r="S33" s="81">
        <v>0</v>
      </c>
      <c r="T33" s="81" t="s">
        <v>420</v>
      </c>
      <c r="U33" s="82" t="s">
        <v>415</v>
      </c>
      <c r="V33" s="75" t="s">
        <v>416</v>
      </c>
      <c r="W33" s="75" t="s">
        <v>416</v>
      </c>
      <c r="X33" s="75" t="s">
        <v>416</v>
      </c>
      <c r="Y33" s="75" t="s">
        <v>416</v>
      </c>
      <c r="Z33" s="75" t="s">
        <v>416</v>
      </c>
    </row>
    <row r="34" spans="1:26" x14ac:dyDescent="0.25">
      <c r="A34" s="74">
        <v>260417010046</v>
      </c>
      <c r="B34" s="75" t="s">
        <v>253</v>
      </c>
      <c r="C34" s="100" t="s">
        <v>190</v>
      </c>
      <c r="D34" s="75" t="s">
        <v>426</v>
      </c>
      <c r="E34" s="84">
        <v>13.2</v>
      </c>
      <c r="F34" s="83">
        <v>28.3</v>
      </c>
      <c r="G34" s="83">
        <v>33.5</v>
      </c>
      <c r="H34" s="83">
        <v>9.4</v>
      </c>
      <c r="I34" s="74">
        <v>285</v>
      </c>
      <c r="J34" s="84">
        <v>74.599999999999994</v>
      </c>
      <c r="K34" s="84">
        <v>10.199999999999999</v>
      </c>
      <c r="L34" s="83">
        <v>21.8</v>
      </c>
      <c r="M34" s="83" t="s">
        <v>446</v>
      </c>
      <c r="N34" s="83">
        <v>4.8</v>
      </c>
      <c r="O34" s="83">
        <v>191.1</v>
      </c>
      <c r="P34" s="83">
        <v>99.5</v>
      </c>
      <c r="Q34" s="81">
        <v>0</v>
      </c>
      <c r="R34" s="81">
        <v>0</v>
      </c>
      <c r="S34" s="81">
        <v>0</v>
      </c>
      <c r="T34" s="82" t="s">
        <v>204</v>
      </c>
      <c r="U34" s="82" t="s">
        <v>415</v>
      </c>
      <c r="V34" s="75" t="s">
        <v>416</v>
      </c>
      <c r="W34" s="75" t="s">
        <v>416</v>
      </c>
      <c r="X34" s="75" t="s">
        <v>416</v>
      </c>
      <c r="Y34" s="75" t="s">
        <v>416</v>
      </c>
      <c r="Z34" s="75" t="s">
        <v>416</v>
      </c>
    </row>
    <row r="35" spans="1:26" x14ac:dyDescent="0.25">
      <c r="A35" s="74">
        <v>260420010008</v>
      </c>
      <c r="B35" s="75" t="s">
        <v>289</v>
      </c>
      <c r="C35" s="100" t="s">
        <v>121</v>
      </c>
      <c r="D35" s="75" t="s">
        <v>412</v>
      </c>
      <c r="E35" s="84">
        <v>15.9</v>
      </c>
      <c r="F35" s="83">
        <v>31</v>
      </c>
      <c r="G35" s="83">
        <v>35</v>
      </c>
      <c r="H35" s="83">
        <v>6.7</v>
      </c>
      <c r="I35" s="74">
        <v>369</v>
      </c>
      <c r="J35" s="84">
        <v>75.900000000000006</v>
      </c>
      <c r="K35" s="84">
        <v>8</v>
      </c>
      <c r="L35" s="83">
        <v>17.2</v>
      </c>
      <c r="M35" s="85">
        <v>1</v>
      </c>
      <c r="N35" s="85">
        <v>8</v>
      </c>
      <c r="O35" s="83">
        <v>144.69999999999999</v>
      </c>
      <c r="P35" s="83">
        <v>142.1</v>
      </c>
      <c r="Q35" s="81">
        <v>0</v>
      </c>
      <c r="R35" s="81">
        <v>0</v>
      </c>
      <c r="S35" s="81">
        <v>0</v>
      </c>
      <c r="T35" s="81" t="s">
        <v>420</v>
      </c>
      <c r="U35" s="82" t="s">
        <v>415</v>
      </c>
      <c r="V35" s="75" t="s">
        <v>416</v>
      </c>
      <c r="W35" s="75" t="s">
        <v>416</v>
      </c>
      <c r="X35" s="75" t="s">
        <v>416</v>
      </c>
      <c r="Y35" s="75" t="s">
        <v>416</v>
      </c>
      <c r="Z35" s="75" t="s">
        <v>416</v>
      </c>
    </row>
    <row r="36" spans="1:26" x14ac:dyDescent="0.25">
      <c r="A36" s="74">
        <v>260420010009</v>
      </c>
      <c r="B36" s="75" t="s">
        <v>209</v>
      </c>
      <c r="C36" s="100" t="s">
        <v>190</v>
      </c>
      <c r="D36" s="75" t="s">
        <v>431</v>
      </c>
      <c r="E36" s="84">
        <v>13</v>
      </c>
      <c r="F36" s="83">
        <v>27.6</v>
      </c>
      <c r="G36" s="83">
        <v>33.4</v>
      </c>
      <c r="H36" s="83">
        <v>6.1</v>
      </c>
      <c r="I36" s="74">
        <v>342</v>
      </c>
      <c r="J36" s="84">
        <v>92.6</v>
      </c>
      <c r="K36" s="84">
        <v>11.2</v>
      </c>
      <c r="L36" s="83">
        <v>24</v>
      </c>
      <c r="M36" s="83" t="s">
        <v>427</v>
      </c>
      <c r="N36" s="83">
        <v>3.9</v>
      </c>
      <c r="O36" s="83">
        <v>160.30000000000001</v>
      </c>
      <c r="P36" s="83">
        <v>129.19999999999999</v>
      </c>
      <c r="Q36" s="81">
        <v>0</v>
      </c>
      <c r="R36" s="81">
        <v>0</v>
      </c>
      <c r="S36" s="82">
        <v>25</v>
      </c>
      <c r="T36" s="81" t="s">
        <v>420</v>
      </c>
      <c r="U36" s="82" t="s">
        <v>415</v>
      </c>
      <c r="V36" s="75" t="s">
        <v>416</v>
      </c>
      <c r="W36" s="75" t="s">
        <v>416</v>
      </c>
      <c r="X36" s="75" t="s">
        <v>416</v>
      </c>
      <c r="Y36" s="75" t="s">
        <v>416</v>
      </c>
      <c r="Z36" s="75" t="s">
        <v>416</v>
      </c>
    </row>
    <row r="37" spans="1:26" x14ac:dyDescent="0.25">
      <c r="A37" s="74">
        <v>260420010010</v>
      </c>
      <c r="B37" s="75" t="s">
        <v>210</v>
      </c>
      <c r="C37" s="100" t="s">
        <v>121</v>
      </c>
      <c r="D37" s="75" t="s">
        <v>417</v>
      </c>
      <c r="E37" s="84">
        <v>16.3</v>
      </c>
      <c r="F37" s="83">
        <v>30.6</v>
      </c>
      <c r="G37" s="83">
        <v>35.299999999999997</v>
      </c>
      <c r="H37" s="83">
        <v>6.7</v>
      </c>
      <c r="I37" s="74">
        <v>297</v>
      </c>
      <c r="J37" s="84">
        <v>78.2</v>
      </c>
      <c r="K37" s="84">
        <v>19.3</v>
      </c>
      <c r="L37" s="83">
        <v>41.3</v>
      </c>
      <c r="M37" s="85" t="s">
        <v>424</v>
      </c>
      <c r="N37" s="83">
        <v>4.3</v>
      </c>
      <c r="O37" s="83">
        <v>157.5</v>
      </c>
      <c r="P37" s="83">
        <v>109.3</v>
      </c>
      <c r="Q37" s="81">
        <v>0</v>
      </c>
      <c r="R37" s="81">
        <v>0</v>
      </c>
      <c r="S37" s="81">
        <v>0</v>
      </c>
      <c r="T37" s="81" t="s">
        <v>420</v>
      </c>
      <c r="U37" s="81" t="s">
        <v>414</v>
      </c>
      <c r="V37" s="75" t="s">
        <v>416</v>
      </c>
      <c r="W37" s="75" t="s">
        <v>416</v>
      </c>
      <c r="X37" s="75" t="s">
        <v>416</v>
      </c>
      <c r="Y37" s="75" t="s">
        <v>416</v>
      </c>
      <c r="Z37" s="75" t="s">
        <v>416</v>
      </c>
    </row>
    <row r="38" spans="1:26" x14ac:dyDescent="0.25">
      <c r="A38" s="74">
        <v>260420010011</v>
      </c>
      <c r="B38" s="75" t="s">
        <v>211</v>
      </c>
      <c r="C38" s="100" t="s">
        <v>121</v>
      </c>
      <c r="D38" s="75" t="s">
        <v>437</v>
      </c>
      <c r="E38" s="84">
        <v>15.5</v>
      </c>
      <c r="F38" s="83">
        <v>29.4</v>
      </c>
      <c r="G38" s="83">
        <v>34.4</v>
      </c>
      <c r="H38" s="83">
        <v>7</v>
      </c>
      <c r="I38" s="74">
        <v>386</v>
      </c>
      <c r="J38" s="84">
        <v>85.1</v>
      </c>
      <c r="K38" s="84">
        <v>13.6</v>
      </c>
      <c r="L38" s="83">
        <v>29.2</v>
      </c>
      <c r="M38" s="85">
        <v>1</v>
      </c>
      <c r="N38" s="83">
        <v>6.3</v>
      </c>
      <c r="O38" s="83">
        <v>164.5</v>
      </c>
      <c r="P38" s="83">
        <v>158.5</v>
      </c>
      <c r="Q38" s="81">
        <v>0</v>
      </c>
      <c r="R38" s="81">
        <v>0</v>
      </c>
      <c r="S38" s="81">
        <v>0</v>
      </c>
      <c r="T38" s="81" t="s">
        <v>420</v>
      </c>
      <c r="U38" s="82" t="s">
        <v>415</v>
      </c>
      <c r="V38" s="75" t="s">
        <v>416</v>
      </c>
      <c r="W38" s="75" t="s">
        <v>416</v>
      </c>
      <c r="X38" s="75" t="s">
        <v>416</v>
      </c>
      <c r="Y38" s="75" t="s">
        <v>416</v>
      </c>
      <c r="Z38" s="75" t="s">
        <v>416</v>
      </c>
    </row>
    <row r="39" spans="1:26" ht="26.25" x14ac:dyDescent="0.25">
      <c r="A39" s="74">
        <v>260420010012</v>
      </c>
      <c r="B39" s="75" t="s">
        <v>212</v>
      </c>
      <c r="C39" s="100" t="s">
        <v>121</v>
      </c>
      <c r="D39" s="75" t="s">
        <v>439</v>
      </c>
      <c r="E39" s="84">
        <v>17.7</v>
      </c>
      <c r="F39" s="83">
        <v>31</v>
      </c>
      <c r="G39" s="83">
        <v>34.299999999999997</v>
      </c>
      <c r="H39" s="83">
        <v>7.2</v>
      </c>
      <c r="I39" s="74">
        <v>278</v>
      </c>
      <c r="J39" s="84">
        <v>83.3</v>
      </c>
      <c r="K39" s="84">
        <v>9.9</v>
      </c>
      <c r="L39" s="83">
        <v>21.2</v>
      </c>
      <c r="M39" s="85" t="s">
        <v>422</v>
      </c>
      <c r="N39" s="83">
        <v>7.1</v>
      </c>
      <c r="O39" s="83">
        <v>198.3</v>
      </c>
      <c r="P39" s="83">
        <v>249.8</v>
      </c>
      <c r="Q39" s="81">
        <v>0</v>
      </c>
      <c r="R39" s="81">
        <v>0</v>
      </c>
      <c r="S39" s="81">
        <v>0</v>
      </c>
      <c r="T39" s="81" t="s">
        <v>420</v>
      </c>
      <c r="U39" s="82" t="s">
        <v>447</v>
      </c>
      <c r="V39" s="75" t="s">
        <v>416</v>
      </c>
      <c r="W39" s="75" t="s">
        <v>416</v>
      </c>
      <c r="X39" s="75" t="s">
        <v>416</v>
      </c>
      <c r="Y39" s="75" t="s">
        <v>416</v>
      </c>
      <c r="Z39" s="75" t="s">
        <v>416</v>
      </c>
    </row>
    <row r="40" spans="1:26" x14ac:dyDescent="0.25">
      <c r="A40" s="74">
        <v>260420010013</v>
      </c>
      <c r="B40" s="75" t="s">
        <v>214</v>
      </c>
      <c r="C40" s="100" t="s">
        <v>121</v>
      </c>
      <c r="D40" s="75" t="s">
        <v>448</v>
      </c>
      <c r="E40" s="84">
        <v>16.7</v>
      </c>
      <c r="F40" s="83">
        <v>29.4</v>
      </c>
      <c r="G40" s="83">
        <v>34.299999999999997</v>
      </c>
      <c r="H40" s="83">
        <v>6</v>
      </c>
      <c r="I40" s="74">
        <v>194</v>
      </c>
      <c r="J40" s="84">
        <v>80.3</v>
      </c>
      <c r="K40" s="84">
        <v>15.1</v>
      </c>
      <c r="L40" s="83">
        <v>32.4</v>
      </c>
      <c r="M40" s="83" t="s">
        <v>427</v>
      </c>
      <c r="N40" s="83">
        <v>6.4</v>
      </c>
      <c r="O40" s="83">
        <v>143.69999999999999</v>
      </c>
      <c r="P40" s="83">
        <v>285.89999999999998</v>
      </c>
      <c r="Q40" s="81">
        <v>0</v>
      </c>
      <c r="R40" s="81">
        <v>0</v>
      </c>
      <c r="S40" s="81">
        <v>0</v>
      </c>
      <c r="T40" s="81" t="s">
        <v>420</v>
      </c>
      <c r="U40" s="81" t="s">
        <v>414</v>
      </c>
      <c r="V40" s="75" t="s">
        <v>416</v>
      </c>
      <c r="W40" s="75" t="s">
        <v>416</v>
      </c>
      <c r="X40" s="75" t="s">
        <v>416</v>
      </c>
      <c r="Y40" s="75" t="s">
        <v>416</v>
      </c>
      <c r="Z40" s="75" t="s">
        <v>416</v>
      </c>
    </row>
    <row r="41" spans="1:26" ht="26.25" x14ac:dyDescent="0.25">
      <c r="A41" s="74">
        <v>260420010014</v>
      </c>
      <c r="B41" s="75" t="s">
        <v>215</v>
      </c>
      <c r="C41" s="100" t="s">
        <v>121</v>
      </c>
      <c r="D41" s="75" t="s">
        <v>423</v>
      </c>
      <c r="E41" s="84">
        <v>18.399999999999999</v>
      </c>
      <c r="F41" s="83">
        <v>30.5</v>
      </c>
      <c r="G41" s="83">
        <v>35.200000000000003</v>
      </c>
      <c r="H41" s="83">
        <v>7.8</v>
      </c>
      <c r="I41" s="74">
        <v>252</v>
      </c>
      <c r="J41" s="84">
        <v>78.400000000000006</v>
      </c>
      <c r="K41" s="84">
        <v>20.7</v>
      </c>
      <c r="L41" s="83">
        <v>44.3</v>
      </c>
      <c r="M41" s="85" t="s">
        <v>424</v>
      </c>
      <c r="N41" s="83">
        <v>6.6</v>
      </c>
      <c r="O41" s="88">
        <v>202.8</v>
      </c>
      <c r="P41" s="83">
        <v>215.3</v>
      </c>
      <c r="Q41" s="81">
        <v>0</v>
      </c>
      <c r="R41" s="81">
        <v>0</v>
      </c>
      <c r="S41" s="82">
        <v>25</v>
      </c>
      <c r="T41" s="81" t="s">
        <v>420</v>
      </c>
      <c r="U41" s="82" t="s">
        <v>449</v>
      </c>
      <c r="V41" s="75" t="s">
        <v>416</v>
      </c>
      <c r="W41" s="75" t="s">
        <v>416</v>
      </c>
      <c r="X41" s="75" t="s">
        <v>416</v>
      </c>
      <c r="Y41" s="75" t="s">
        <v>416</v>
      </c>
      <c r="Z41" s="75" t="s">
        <v>416</v>
      </c>
    </row>
    <row r="42" spans="1:26" x14ac:dyDescent="0.25">
      <c r="A42" s="74">
        <v>260420010015</v>
      </c>
      <c r="B42" s="75" t="s">
        <v>216</v>
      </c>
      <c r="C42" s="100" t="s">
        <v>121</v>
      </c>
      <c r="D42" s="75" t="s">
        <v>450</v>
      </c>
      <c r="E42" s="84">
        <v>15.4</v>
      </c>
      <c r="F42" s="83">
        <v>31.3</v>
      </c>
      <c r="G42" s="83">
        <v>33.5</v>
      </c>
      <c r="H42" s="83">
        <v>7.2</v>
      </c>
      <c r="I42" s="74">
        <v>238</v>
      </c>
      <c r="J42" s="84">
        <v>92</v>
      </c>
      <c r="K42" s="84">
        <v>14.7</v>
      </c>
      <c r="L42" s="83">
        <v>31.5</v>
      </c>
      <c r="M42" s="83" t="s">
        <v>418</v>
      </c>
      <c r="N42" s="83">
        <v>5.3</v>
      </c>
      <c r="O42" s="83">
        <v>140.4</v>
      </c>
      <c r="P42" s="83">
        <v>91.7</v>
      </c>
      <c r="Q42" s="81">
        <v>0</v>
      </c>
      <c r="R42" s="81">
        <v>0</v>
      </c>
      <c r="S42" s="81">
        <v>0</v>
      </c>
      <c r="T42" s="81" t="s">
        <v>420</v>
      </c>
      <c r="U42" s="81" t="s">
        <v>414</v>
      </c>
      <c r="V42" s="75" t="s">
        <v>416</v>
      </c>
      <c r="W42" s="75" t="s">
        <v>416</v>
      </c>
      <c r="X42" s="75" t="s">
        <v>416</v>
      </c>
      <c r="Y42" s="75" t="s">
        <v>416</v>
      </c>
      <c r="Z42" s="75" t="s">
        <v>416</v>
      </c>
    </row>
    <row r="43" spans="1:26" ht="26.25" x14ac:dyDescent="0.25">
      <c r="A43" s="74">
        <v>260420010016</v>
      </c>
      <c r="B43" s="75" t="s">
        <v>217</v>
      </c>
      <c r="C43" s="100" t="s">
        <v>121</v>
      </c>
      <c r="D43" s="75" t="s">
        <v>451</v>
      </c>
      <c r="E43" s="84">
        <v>17.899999999999999</v>
      </c>
      <c r="F43" s="83">
        <v>31.6</v>
      </c>
      <c r="G43" s="83">
        <v>35.4</v>
      </c>
      <c r="H43" s="83">
        <v>9.4</v>
      </c>
      <c r="I43" s="74">
        <v>313</v>
      </c>
      <c r="J43" s="84">
        <v>83.3</v>
      </c>
      <c r="K43" s="84">
        <v>7.5</v>
      </c>
      <c r="L43" s="83">
        <v>15</v>
      </c>
      <c r="M43" s="85" t="s">
        <v>424</v>
      </c>
      <c r="N43" s="85">
        <v>8.4</v>
      </c>
      <c r="O43" s="83">
        <v>184.8</v>
      </c>
      <c r="P43" s="83">
        <v>278.2</v>
      </c>
      <c r="Q43" s="81">
        <v>0</v>
      </c>
      <c r="R43" s="81">
        <v>0</v>
      </c>
      <c r="S43" s="81">
        <v>0</v>
      </c>
      <c r="T43" s="81" t="s">
        <v>420</v>
      </c>
      <c r="U43" s="82" t="s">
        <v>444</v>
      </c>
      <c r="V43" s="75" t="s">
        <v>416</v>
      </c>
      <c r="W43" s="75" t="s">
        <v>416</v>
      </c>
      <c r="X43" s="75" t="s">
        <v>416</v>
      </c>
      <c r="Y43" s="75" t="s">
        <v>416</v>
      </c>
      <c r="Z43" s="75" t="s">
        <v>416</v>
      </c>
    </row>
    <row r="44" spans="1:26" x14ac:dyDescent="0.25">
      <c r="A44" s="74">
        <v>260420010017</v>
      </c>
      <c r="B44" s="75" t="s">
        <v>220</v>
      </c>
      <c r="C44" s="100" t="s">
        <v>121</v>
      </c>
      <c r="D44" s="75" t="s">
        <v>451</v>
      </c>
      <c r="E44" s="84">
        <v>16.7</v>
      </c>
      <c r="F44" s="83">
        <v>31</v>
      </c>
      <c r="G44" s="83">
        <v>35.1</v>
      </c>
      <c r="H44" s="83">
        <v>4.7</v>
      </c>
      <c r="I44" s="74">
        <v>185</v>
      </c>
      <c r="J44" s="84">
        <v>84.8</v>
      </c>
      <c r="K44" s="84">
        <v>12.9</v>
      </c>
      <c r="L44" s="83">
        <v>27.5</v>
      </c>
      <c r="M44" s="85" t="s">
        <v>422</v>
      </c>
      <c r="N44" s="83">
        <v>5.7</v>
      </c>
      <c r="O44" s="88">
        <v>215</v>
      </c>
      <c r="P44" s="83">
        <v>154.30000000000001</v>
      </c>
      <c r="Q44" s="81">
        <v>0</v>
      </c>
      <c r="R44" s="81">
        <v>0</v>
      </c>
      <c r="S44" s="81">
        <v>0</v>
      </c>
      <c r="T44" s="81" t="s">
        <v>420</v>
      </c>
      <c r="U44" s="82" t="s">
        <v>444</v>
      </c>
      <c r="V44" s="75" t="s">
        <v>416</v>
      </c>
      <c r="W44" s="75" t="s">
        <v>416</v>
      </c>
      <c r="X44" s="75" t="s">
        <v>416</v>
      </c>
      <c r="Y44" s="75" t="s">
        <v>416</v>
      </c>
      <c r="Z44" s="75" t="s">
        <v>416</v>
      </c>
    </row>
    <row r="45" spans="1:26" x14ac:dyDescent="0.25">
      <c r="A45" s="74">
        <v>260420010018</v>
      </c>
      <c r="B45" s="75" t="s">
        <v>226</v>
      </c>
      <c r="C45" s="100" t="s">
        <v>121</v>
      </c>
      <c r="D45" s="75" t="s">
        <v>430</v>
      </c>
      <c r="E45" s="84">
        <v>15.4</v>
      </c>
      <c r="F45" s="83">
        <v>31.3</v>
      </c>
      <c r="G45" s="83">
        <v>35.799999999999997</v>
      </c>
      <c r="H45" s="83">
        <v>6.9</v>
      </c>
      <c r="I45" s="74">
        <v>314</v>
      </c>
      <c r="J45" s="84">
        <v>87.6</v>
      </c>
      <c r="K45" s="84">
        <v>13.9</v>
      </c>
      <c r="L45" s="83">
        <v>29.8</v>
      </c>
      <c r="M45" s="85" t="s">
        <v>424</v>
      </c>
      <c r="N45" s="85">
        <v>8.1999999999999993</v>
      </c>
      <c r="O45" s="88">
        <v>216.6</v>
      </c>
      <c r="P45" s="83">
        <v>194.6</v>
      </c>
      <c r="Q45" s="81">
        <v>0</v>
      </c>
      <c r="R45" s="81">
        <v>0</v>
      </c>
      <c r="S45" s="81">
        <v>0</v>
      </c>
      <c r="T45" s="81" t="s">
        <v>414</v>
      </c>
      <c r="U45" s="82" t="s">
        <v>415</v>
      </c>
      <c r="V45" s="75" t="s">
        <v>416</v>
      </c>
      <c r="W45" s="75" t="s">
        <v>416</v>
      </c>
      <c r="X45" s="75" t="s">
        <v>416</v>
      </c>
      <c r="Y45" s="75" t="s">
        <v>416</v>
      </c>
      <c r="Z45" s="75" t="s">
        <v>416</v>
      </c>
    </row>
    <row r="46" spans="1:26" ht="26.25" x14ac:dyDescent="0.25">
      <c r="A46" s="74">
        <v>260420010019</v>
      </c>
      <c r="B46" s="75" t="s">
        <v>232</v>
      </c>
      <c r="C46" s="100" t="s">
        <v>121</v>
      </c>
      <c r="D46" s="75" t="s">
        <v>442</v>
      </c>
      <c r="E46" s="84">
        <v>16</v>
      </c>
      <c r="F46" s="83">
        <v>30.1</v>
      </c>
      <c r="G46" s="83">
        <v>34.6</v>
      </c>
      <c r="H46" s="83">
        <v>5.5</v>
      </c>
      <c r="I46" s="74">
        <v>302</v>
      </c>
      <c r="J46" s="84">
        <v>92.1</v>
      </c>
      <c r="K46" s="84">
        <v>10.1</v>
      </c>
      <c r="L46" s="83">
        <v>21.7</v>
      </c>
      <c r="M46" s="85">
        <v>1</v>
      </c>
      <c r="N46" s="83">
        <v>7</v>
      </c>
      <c r="O46" s="83">
        <v>162</v>
      </c>
      <c r="P46" s="83">
        <v>116.6</v>
      </c>
      <c r="Q46" s="81">
        <v>0</v>
      </c>
      <c r="R46" s="81">
        <v>0</v>
      </c>
      <c r="S46" s="81">
        <v>0</v>
      </c>
      <c r="T46" s="81" t="s">
        <v>420</v>
      </c>
      <c r="U46" s="82" t="s">
        <v>415</v>
      </c>
      <c r="V46" s="75" t="s">
        <v>416</v>
      </c>
      <c r="W46" s="75" t="s">
        <v>416</v>
      </c>
      <c r="X46" s="75" t="s">
        <v>416</v>
      </c>
      <c r="Y46" s="75" t="s">
        <v>416</v>
      </c>
      <c r="Z46" s="75" t="s">
        <v>416</v>
      </c>
    </row>
    <row r="47" spans="1:26" x14ac:dyDescent="0.25">
      <c r="A47" s="74">
        <v>260420010020</v>
      </c>
      <c r="B47" s="75" t="s">
        <v>233</v>
      </c>
      <c r="C47" s="100" t="s">
        <v>121</v>
      </c>
      <c r="D47" s="75" t="s">
        <v>412</v>
      </c>
      <c r="E47" s="84">
        <v>16.899999999999999</v>
      </c>
      <c r="F47" s="83">
        <v>30.7</v>
      </c>
      <c r="G47" s="83">
        <v>35.299999999999997</v>
      </c>
      <c r="H47" s="83">
        <v>5.4</v>
      </c>
      <c r="I47" s="74">
        <v>204</v>
      </c>
      <c r="J47" s="84">
        <v>74.099999999999994</v>
      </c>
      <c r="K47" s="84">
        <v>16.399999999999999</v>
      </c>
      <c r="L47" s="83">
        <v>35.1</v>
      </c>
      <c r="M47" s="85" t="s">
        <v>422</v>
      </c>
      <c r="N47" s="83">
        <v>5.3</v>
      </c>
      <c r="O47" s="83">
        <v>148.4</v>
      </c>
      <c r="P47" s="83">
        <v>65.2</v>
      </c>
      <c r="Q47" s="81">
        <v>0</v>
      </c>
      <c r="R47" s="82" t="s">
        <v>452</v>
      </c>
      <c r="S47" s="81">
        <v>0</v>
      </c>
      <c r="T47" s="81" t="s">
        <v>420</v>
      </c>
      <c r="U47" s="81" t="s">
        <v>414</v>
      </c>
      <c r="V47" s="75" t="s">
        <v>416</v>
      </c>
      <c r="W47" s="75" t="s">
        <v>416</v>
      </c>
      <c r="X47" s="75" t="s">
        <v>416</v>
      </c>
      <c r="Y47" s="75" t="s">
        <v>416</v>
      </c>
      <c r="Z47" s="75" t="s">
        <v>416</v>
      </c>
    </row>
    <row r="48" spans="1:26" x14ac:dyDescent="0.25">
      <c r="A48" s="74">
        <v>260420010021</v>
      </c>
      <c r="B48" s="75" t="s">
        <v>234</v>
      </c>
      <c r="C48" s="100" t="s">
        <v>121</v>
      </c>
      <c r="D48" s="75" t="s">
        <v>453</v>
      </c>
      <c r="E48" s="84">
        <v>17.5</v>
      </c>
      <c r="F48" s="83">
        <v>32.200000000000003</v>
      </c>
      <c r="G48" s="83">
        <v>35</v>
      </c>
      <c r="H48" s="83">
        <v>6.5</v>
      </c>
      <c r="I48" s="74">
        <v>285</v>
      </c>
      <c r="J48" s="84">
        <v>78.599999999999994</v>
      </c>
      <c r="K48" s="84">
        <v>11.5</v>
      </c>
      <c r="L48" s="83">
        <v>24.6</v>
      </c>
      <c r="M48" s="85" t="s">
        <v>422</v>
      </c>
      <c r="N48" s="83">
        <v>6.5</v>
      </c>
      <c r="O48" s="83">
        <v>179.3</v>
      </c>
      <c r="P48" s="83">
        <v>334</v>
      </c>
      <c r="Q48" s="81">
        <v>0</v>
      </c>
      <c r="R48" s="81">
        <v>0</v>
      </c>
      <c r="S48" s="81">
        <v>0</v>
      </c>
      <c r="T48" s="81" t="s">
        <v>420</v>
      </c>
      <c r="U48" s="82" t="s">
        <v>425</v>
      </c>
      <c r="V48" s="75" t="s">
        <v>416</v>
      </c>
      <c r="W48" s="75" t="s">
        <v>416</v>
      </c>
      <c r="X48" s="75" t="s">
        <v>416</v>
      </c>
      <c r="Y48" s="75" t="s">
        <v>416</v>
      </c>
      <c r="Z48" s="75" t="s">
        <v>416</v>
      </c>
    </row>
    <row r="49" spans="1:26" x14ac:dyDescent="0.25">
      <c r="A49" s="74">
        <v>260420010022</v>
      </c>
      <c r="B49" s="75" t="s">
        <v>235</v>
      </c>
      <c r="C49" s="100" t="s">
        <v>121</v>
      </c>
      <c r="D49" s="75" t="s">
        <v>423</v>
      </c>
      <c r="E49" s="84">
        <v>15.3</v>
      </c>
      <c r="F49" s="83">
        <v>28.9</v>
      </c>
      <c r="G49" s="83">
        <v>34.200000000000003</v>
      </c>
      <c r="H49" s="83">
        <v>6.1</v>
      </c>
      <c r="I49" s="74">
        <v>232</v>
      </c>
      <c r="J49" s="84">
        <v>86.1</v>
      </c>
      <c r="K49" s="84">
        <v>14.9</v>
      </c>
      <c r="L49" s="83">
        <v>32</v>
      </c>
      <c r="M49" s="85">
        <v>1</v>
      </c>
      <c r="N49" s="83">
        <v>5.9</v>
      </c>
      <c r="O49" s="88">
        <v>205.6</v>
      </c>
      <c r="P49" s="83">
        <v>371.7</v>
      </c>
      <c r="Q49" s="81">
        <v>0</v>
      </c>
      <c r="R49" s="81">
        <v>0</v>
      </c>
      <c r="S49" s="81">
        <v>0</v>
      </c>
      <c r="T49" s="81" t="s">
        <v>420</v>
      </c>
      <c r="U49" s="82" t="s">
        <v>415</v>
      </c>
      <c r="V49" s="75" t="s">
        <v>416</v>
      </c>
      <c r="W49" s="75" t="s">
        <v>416</v>
      </c>
      <c r="X49" s="75" t="s">
        <v>416</v>
      </c>
      <c r="Y49" s="75" t="s">
        <v>416</v>
      </c>
      <c r="Z49" s="75" t="s">
        <v>416</v>
      </c>
    </row>
    <row r="50" spans="1:26" x14ac:dyDescent="0.25">
      <c r="A50" s="74">
        <v>260420010023</v>
      </c>
      <c r="B50" s="75" t="s">
        <v>236</v>
      </c>
      <c r="C50" s="100" t="s">
        <v>121</v>
      </c>
      <c r="D50" s="75" t="s">
        <v>451</v>
      </c>
      <c r="E50" s="84">
        <v>16.100000000000001</v>
      </c>
      <c r="F50" s="83">
        <v>32.4</v>
      </c>
      <c r="G50" s="83">
        <v>35.1</v>
      </c>
      <c r="H50" s="83">
        <v>4.4000000000000004</v>
      </c>
      <c r="I50" s="74">
        <v>205</v>
      </c>
      <c r="J50" s="84">
        <v>80</v>
      </c>
      <c r="K50" s="84">
        <v>19.3</v>
      </c>
      <c r="L50" s="83">
        <v>41.3</v>
      </c>
      <c r="M50" s="85" t="s">
        <v>422</v>
      </c>
      <c r="N50" s="83">
        <v>6.5</v>
      </c>
      <c r="O50" s="83">
        <v>164.2</v>
      </c>
      <c r="P50" s="83">
        <v>104.3</v>
      </c>
      <c r="Q50" s="81">
        <v>0</v>
      </c>
      <c r="R50" s="81">
        <v>0</v>
      </c>
      <c r="S50" s="81">
        <v>0</v>
      </c>
      <c r="T50" s="81" t="s">
        <v>420</v>
      </c>
      <c r="U50" s="82" t="s">
        <v>415</v>
      </c>
      <c r="V50" s="75" t="s">
        <v>416</v>
      </c>
      <c r="W50" s="75" t="s">
        <v>416</v>
      </c>
      <c r="X50" s="75" t="s">
        <v>416</v>
      </c>
      <c r="Y50" s="75" t="s">
        <v>416</v>
      </c>
      <c r="Z50" s="75" t="s">
        <v>416</v>
      </c>
    </row>
    <row r="51" spans="1:26" x14ac:dyDescent="0.25">
      <c r="A51" s="74">
        <v>260420010024</v>
      </c>
      <c r="B51" s="75" t="s">
        <v>237</v>
      </c>
      <c r="C51" s="100" t="s">
        <v>121</v>
      </c>
      <c r="D51" s="75" t="s">
        <v>430</v>
      </c>
      <c r="E51" s="84">
        <v>15.6</v>
      </c>
      <c r="F51" s="83">
        <v>30.1</v>
      </c>
      <c r="G51" s="83">
        <v>34.9</v>
      </c>
      <c r="H51" s="83">
        <v>6</v>
      </c>
      <c r="I51" s="74">
        <v>245</v>
      </c>
      <c r="J51" s="84">
        <v>85.1</v>
      </c>
      <c r="K51" s="84">
        <v>13.9</v>
      </c>
      <c r="L51" s="83">
        <v>29.7</v>
      </c>
      <c r="M51" s="85">
        <v>1</v>
      </c>
      <c r="N51" s="83">
        <v>6.3</v>
      </c>
      <c r="O51" s="83">
        <v>119.1</v>
      </c>
      <c r="P51" s="83">
        <v>63.5</v>
      </c>
      <c r="Q51" s="81">
        <v>0</v>
      </c>
      <c r="R51" s="81">
        <v>0</v>
      </c>
      <c r="S51" s="81">
        <v>0</v>
      </c>
      <c r="T51" s="81" t="s">
        <v>420</v>
      </c>
      <c r="U51" s="82" t="s">
        <v>415</v>
      </c>
      <c r="V51" s="75" t="s">
        <v>416</v>
      </c>
      <c r="W51" s="75" t="s">
        <v>416</v>
      </c>
      <c r="X51" s="75" t="s">
        <v>416</v>
      </c>
      <c r="Y51" s="75" t="s">
        <v>416</v>
      </c>
      <c r="Z51" s="75" t="s">
        <v>416</v>
      </c>
    </row>
    <row r="52" spans="1:26" x14ac:dyDescent="0.25">
      <c r="A52" s="74">
        <v>260420010025</v>
      </c>
      <c r="B52" s="75" t="s">
        <v>239</v>
      </c>
      <c r="C52" s="100" t="s">
        <v>121</v>
      </c>
      <c r="D52" s="75" t="s">
        <v>454</v>
      </c>
      <c r="E52" s="84">
        <v>15.5</v>
      </c>
      <c r="F52" s="83">
        <v>32.700000000000003</v>
      </c>
      <c r="G52" s="83">
        <v>35.4</v>
      </c>
      <c r="H52" s="83">
        <v>6.2</v>
      </c>
      <c r="I52" s="74">
        <v>196</v>
      </c>
      <c r="J52" s="84">
        <v>85.6</v>
      </c>
      <c r="K52" s="84">
        <v>11.4</v>
      </c>
      <c r="L52" s="83">
        <v>24.4</v>
      </c>
      <c r="M52" s="83" t="s">
        <v>418</v>
      </c>
      <c r="N52" s="83">
        <v>6.4</v>
      </c>
      <c r="O52" s="83">
        <v>155.69999999999999</v>
      </c>
      <c r="P52" s="83">
        <v>167.3</v>
      </c>
      <c r="Q52" s="81">
        <v>0</v>
      </c>
      <c r="R52" s="81">
        <v>0</v>
      </c>
      <c r="S52" s="81">
        <v>0</v>
      </c>
      <c r="T52" s="81" t="s">
        <v>420</v>
      </c>
      <c r="U52" s="82" t="s">
        <v>440</v>
      </c>
      <c r="V52" s="75" t="s">
        <v>416</v>
      </c>
      <c r="W52" s="75" t="s">
        <v>416</v>
      </c>
      <c r="X52" s="75" t="s">
        <v>416</v>
      </c>
      <c r="Y52" s="75" t="s">
        <v>416</v>
      </c>
      <c r="Z52" s="75" t="s">
        <v>416</v>
      </c>
    </row>
    <row r="53" spans="1:26" x14ac:dyDescent="0.25">
      <c r="A53" s="74">
        <v>260420010026</v>
      </c>
      <c r="B53" s="75" t="s">
        <v>240</v>
      </c>
      <c r="C53" s="100" t="s">
        <v>121</v>
      </c>
      <c r="D53" s="75" t="s">
        <v>438</v>
      </c>
      <c r="E53" s="84">
        <v>16.2</v>
      </c>
      <c r="F53" s="83">
        <v>30</v>
      </c>
      <c r="G53" s="83">
        <v>35.1</v>
      </c>
      <c r="H53" s="84">
        <v>6.4</v>
      </c>
      <c r="I53" s="74">
        <v>229</v>
      </c>
      <c r="J53" s="84">
        <v>83.9</v>
      </c>
      <c r="K53" s="85" t="s">
        <v>455</v>
      </c>
      <c r="L53" s="85" t="s">
        <v>456</v>
      </c>
      <c r="M53" s="85" t="s">
        <v>432</v>
      </c>
      <c r="N53" s="83">
        <v>7.3</v>
      </c>
      <c r="O53" s="83">
        <v>143.6</v>
      </c>
      <c r="P53" s="83">
        <v>89</v>
      </c>
      <c r="Q53" s="81">
        <v>0</v>
      </c>
      <c r="R53" s="81">
        <v>0</v>
      </c>
      <c r="S53" s="81">
        <v>0</v>
      </c>
      <c r="T53" s="81" t="s">
        <v>420</v>
      </c>
      <c r="U53" s="82" t="s">
        <v>415</v>
      </c>
      <c r="V53" s="75" t="s">
        <v>416</v>
      </c>
      <c r="W53" s="75" t="s">
        <v>416</v>
      </c>
      <c r="X53" s="75" t="s">
        <v>416</v>
      </c>
      <c r="Y53" s="75" t="s">
        <v>416</v>
      </c>
      <c r="Z53" s="75" t="s">
        <v>416</v>
      </c>
    </row>
    <row r="54" spans="1:26" x14ac:dyDescent="0.25">
      <c r="A54" s="74">
        <v>260420010027</v>
      </c>
      <c r="B54" s="75" t="s">
        <v>242</v>
      </c>
      <c r="C54" s="100" t="s">
        <v>121</v>
      </c>
      <c r="D54" s="75" t="s">
        <v>451</v>
      </c>
      <c r="E54" s="84">
        <v>14.7</v>
      </c>
      <c r="F54" s="83">
        <v>28.5</v>
      </c>
      <c r="G54" s="83">
        <v>35.4</v>
      </c>
      <c r="H54" s="83">
        <v>8.5</v>
      </c>
      <c r="I54" s="74">
        <v>214</v>
      </c>
      <c r="J54" s="84">
        <v>90.1</v>
      </c>
      <c r="K54" s="84">
        <v>15.7</v>
      </c>
      <c r="L54" s="83">
        <v>33.5</v>
      </c>
      <c r="M54" s="85" t="s">
        <v>424</v>
      </c>
      <c r="N54" s="83">
        <v>5.3</v>
      </c>
      <c r="O54" s="83">
        <v>159.19999999999999</v>
      </c>
      <c r="P54" s="83">
        <v>139.1</v>
      </c>
      <c r="Q54" s="81">
        <v>0</v>
      </c>
      <c r="R54" s="81">
        <v>0</v>
      </c>
      <c r="S54" s="81">
        <v>0</v>
      </c>
      <c r="T54" s="81" t="s">
        <v>414</v>
      </c>
      <c r="U54" s="82" t="s">
        <v>415</v>
      </c>
      <c r="V54" s="75" t="s">
        <v>416</v>
      </c>
      <c r="W54" s="75" t="s">
        <v>416</v>
      </c>
      <c r="X54" s="75" t="s">
        <v>416</v>
      </c>
      <c r="Y54" s="75" t="s">
        <v>416</v>
      </c>
      <c r="Z54" s="75" t="s">
        <v>416</v>
      </c>
    </row>
    <row r="55" spans="1:26" x14ac:dyDescent="0.25">
      <c r="A55" s="74">
        <v>260420010028</v>
      </c>
      <c r="B55" s="75" t="s">
        <v>254</v>
      </c>
      <c r="C55" s="100" t="s">
        <v>121</v>
      </c>
      <c r="D55" s="75" t="s">
        <v>430</v>
      </c>
      <c r="E55" s="84">
        <v>16</v>
      </c>
      <c r="F55" s="83">
        <v>31</v>
      </c>
      <c r="G55" s="83">
        <v>35</v>
      </c>
      <c r="H55" s="84">
        <v>7.9</v>
      </c>
      <c r="I55" s="74">
        <v>362</v>
      </c>
      <c r="J55" s="84">
        <v>80.7</v>
      </c>
      <c r="K55" s="85" t="s">
        <v>457</v>
      </c>
      <c r="L55" s="85" t="s">
        <v>458</v>
      </c>
      <c r="M55" s="85" t="s">
        <v>432</v>
      </c>
      <c r="N55" s="83">
        <v>4.7</v>
      </c>
      <c r="O55" s="83">
        <v>132.80000000000001</v>
      </c>
      <c r="P55" s="83">
        <v>52.3</v>
      </c>
      <c r="Q55" s="81">
        <v>0</v>
      </c>
      <c r="R55" s="81">
        <v>0</v>
      </c>
      <c r="S55" s="81">
        <v>0</v>
      </c>
      <c r="T55" s="81" t="s">
        <v>420</v>
      </c>
      <c r="U55" s="81" t="s">
        <v>414</v>
      </c>
      <c r="V55" s="75" t="s">
        <v>416</v>
      </c>
      <c r="W55" s="75" t="s">
        <v>416</v>
      </c>
      <c r="X55" s="75" t="s">
        <v>416</v>
      </c>
      <c r="Y55" s="75" t="s">
        <v>416</v>
      </c>
      <c r="Z55" s="75" t="s">
        <v>416</v>
      </c>
    </row>
    <row r="56" spans="1:26" ht="26.25" x14ac:dyDescent="0.25">
      <c r="A56" s="74">
        <v>260420010029</v>
      </c>
      <c r="B56" s="75" t="s">
        <v>255</v>
      </c>
      <c r="C56" s="100" t="s">
        <v>121</v>
      </c>
      <c r="D56" s="75" t="s">
        <v>459</v>
      </c>
      <c r="E56" s="84">
        <v>16.3</v>
      </c>
      <c r="F56" s="83">
        <v>31.6</v>
      </c>
      <c r="G56" s="83">
        <v>34.1</v>
      </c>
      <c r="H56" s="84">
        <v>9.6</v>
      </c>
      <c r="I56" s="74">
        <v>266</v>
      </c>
      <c r="J56" s="84">
        <v>100.7</v>
      </c>
      <c r="K56" s="85" t="s">
        <v>460</v>
      </c>
      <c r="L56" s="85" t="s">
        <v>461</v>
      </c>
      <c r="M56" s="85" t="s">
        <v>432</v>
      </c>
      <c r="N56" s="88">
        <v>3</v>
      </c>
      <c r="O56" s="83">
        <v>164.7</v>
      </c>
      <c r="P56" s="83">
        <v>210.3</v>
      </c>
      <c r="Q56" s="81">
        <v>0</v>
      </c>
      <c r="R56" s="81">
        <v>0</v>
      </c>
      <c r="S56" s="81">
        <v>0</v>
      </c>
      <c r="T56" s="81" t="s">
        <v>420</v>
      </c>
      <c r="U56" s="82" t="s">
        <v>462</v>
      </c>
      <c r="V56" s="75" t="s">
        <v>416</v>
      </c>
      <c r="W56" s="75" t="s">
        <v>416</v>
      </c>
      <c r="X56" s="75" t="s">
        <v>416</v>
      </c>
      <c r="Y56" s="75" t="s">
        <v>416</v>
      </c>
      <c r="Z56" s="75" t="s">
        <v>416</v>
      </c>
    </row>
    <row r="57" spans="1:26" x14ac:dyDescent="0.25">
      <c r="A57" s="74">
        <v>260420010030</v>
      </c>
      <c r="B57" s="75" t="s">
        <v>258</v>
      </c>
      <c r="C57" s="100" t="s">
        <v>121</v>
      </c>
      <c r="D57" s="75" t="s">
        <v>412</v>
      </c>
      <c r="E57" s="84">
        <v>17.399999999999999</v>
      </c>
      <c r="F57" s="83">
        <v>29.9</v>
      </c>
      <c r="G57" s="83">
        <v>35.9</v>
      </c>
      <c r="H57" s="83">
        <v>7.7</v>
      </c>
      <c r="I57" s="74">
        <v>293</v>
      </c>
      <c r="J57" s="84">
        <v>91.5</v>
      </c>
      <c r="K57" s="84">
        <v>16.3</v>
      </c>
      <c r="L57" s="83">
        <v>35</v>
      </c>
      <c r="M57" s="85" t="s">
        <v>422</v>
      </c>
      <c r="N57" s="83">
        <v>7.7</v>
      </c>
      <c r="O57" s="85">
        <v>288.10000000000002</v>
      </c>
      <c r="P57" s="98">
        <v>1037.4000000000001</v>
      </c>
      <c r="Q57" s="81">
        <v>0</v>
      </c>
      <c r="R57" s="81">
        <v>0</v>
      </c>
      <c r="S57" s="81">
        <v>0</v>
      </c>
      <c r="T57" s="81" t="s">
        <v>420</v>
      </c>
      <c r="U57" s="82" t="s">
        <v>415</v>
      </c>
      <c r="V57" s="75" t="s">
        <v>416</v>
      </c>
      <c r="W57" s="75" t="s">
        <v>416</v>
      </c>
      <c r="X57" s="75" t="s">
        <v>416</v>
      </c>
      <c r="Y57" s="75" t="s">
        <v>416</v>
      </c>
      <c r="Z57" s="75" t="s">
        <v>416</v>
      </c>
    </row>
    <row r="58" spans="1:26" ht="26.25" x14ac:dyDescent="0.25">
      <c r="A58" s="74">
        <v>260420010031</v>
      </c>
      <c r="B58" s="75" t="s">
        <v>264</v>
      </c>
      <c r="C58" s="100" t="s">
        <v>121</v>
      </c>
      <c r="D58" s="75" t="s">
        <v>454</v>
      </c>
      <c r="E58" s="84">
        <v>15.3</v>
      </c>
      <c r="F58" s="83">
        <v>29.7</v>
      </c>
      <c r="G58" s="83">
        <v>34.5</v>
      </c>
      <c r="H58" s="83">
        <v>5.8</v>
      </c>
      <c r="I58" s="74">
        <v>275</v>
      </c>
      <c r="J58" s="84">
        <v>99</v>
      </c>
      <c r="K58" s="84">
        <v>15.3</v>
      </c>
      <c r="L58" s="83">
        <v>32.700000000000003</v>
      </c>
      <c r="M58" s="85" t="s">
        <v>422</v>
      </c>
      <c r="N58" s="83">
        <v>5.8</v>
      </c>
      <c r="O58" s="83">
        <v>156.5</v>
      </c>
      <c r="P58" s="83">
        <v>227.1</v>
      </c>
      <c r="Q58" s="81">
        <v>0</v>
      </c>
      <c r="R58" s="81">
        <v>0</v>
      </c>
      <c r="S58" s="81">
        <v>0</v>
      </c>
      <c r="T58" s="81" t="s">
        <v>414</v>
      </c>
      <c r="U58" s="82" t="s">
        <v>447</v>
      </c>
      <c r="V58" s="75" t="s">
        <v>416</v>
      </c>
      <c r="W58" s="75" t="s">
        <v>416</v>
      </c>
      <c r="X58" s="75" t="s">
        <v>416</v>
      </c>
      <c r="Y58" s="75" t="s">
        <v>416</v>
      </c>
      <c r="Z58" s="75" t="s">
        <v>416</v>
      </c>
    </row>
    <row r="59" spans="1:26" x14ac:dyDescent="0.25">
      <c r="A59" s="74">
        <v>260420010032</v>
      </c>
      <c r="B59" s="75" t="s">
        <v>265</v>
      </c>
      <c r="C59" s="100" t="s">
        <v>121</v>
      </c>
      <c r="D59" s="75" t="s">
        <v>463</v>
      </c>
      <c r="E59" s="84">
        <v>14.9</v>
      </c>
      <c r="F59" s="83">
        <v>30.8</v>
      </c>
      <c r="G59" s="83">
        <v>34.9</v>
      </c>
      <c r="H59" s="83">
        <v>7.7</v>
      </c>
      <c r="I59" s="74">
        <v>260</v>
      </c>
      <c r="J59" s="84">
        <v>98.3</v>
      </c>
      <c r="K59" s="84">
        <v>15</v>
      </c>
      <c r="L59" s="83">
        <v>32.1</v>
      </c>
      <c r="M59" s="85" t="s">
        <v>422</v>
      </c>
      <c r="N59" s="83">
        <v>6.9</v>
      </c>
      <c r="O59" s="83">
        <v>151.19999999999999</v>
      </c>
      <c r="P59" s="83">
        <v>115.8</v>
      </c>
      <c r="Q59" s="81">
        <v>0</v>
      </c>
      <c r="R59" s="81">
        <v>0</v>
      </c>
      <c r="S59" s="81">
        <v>0</v>
      </c>
      <c r="T59" s="81" t="s">
        <v>420</v>
      </c>
      <c r="U59" s="82" t="s">
        <v>415</v>
      </c>
      <c r="V59" s="75" t="s">
        <v>416</v>
      </c>
      <c r="W59" s="75" t="s">
        <v>416</v>
      </c>
      <c r="X59" s="75" t="s">
        <v>416</v>
      </c>
      <c r="Y59" s="75" t="s">
        <v>416</v>
      </c>
      <c r="Z59" s="75" t="s">
        <v>416</v>
      </c>
    </row>
    <row r="60" spans="1:26" x14ac:dyDescent="0.25">
      <c r="A60" s="74">
        <v>260420010033</v>
      </c>
      <c r="B60" s="75" t="s">
        <v>266</v>
      </c>
      <c r="C60" s="100" t="s">
        <v>121</v>
      </c>
      <c r="D60" s="75" t="s">
        <v>451</v>
      </c>
      <c r="E60" s="84">
        <v>16.399999999999999</v>
      </c>
      <c r="F60" s="83">
        <v>29.5</v>
      </c>
      <c r="G60" s="83">
        <v>34.5</v>
      </c>
      <c r="H60" s="83">
        <v>5.2</v>
      </c>
      <c r="I60" s="74">
        <v>227</v>
      </c>
      <c r="J60" s="84">
        <v>80.3</v>
      </c>
      <c r="K60" s="84">
        <v>20.100000000000001</v>
      </c>
      <c r="L60" s="83">
        <v>43</v>
      </c>
      <c r="M60" s="85" t="s">
        <v>424</v>
      </c>
      <c r="N60" s="83">
        <v>6.8</v>
      </c>
      <c r="O60" s="83">
        <v>159.4</v>
      </c>
      <c r="P60" s="83">
        <v>87.2</v>
      </c>
      <c r="Q60" s="81">
        <v>0</v>
      </c>
      <c r="R60" s="82" t="s">
        <v>464</v>
      </c>
      <c r="S60" s="81">
        <v>0</v>
      </c>
      <c r="T60" s="81" t="s">
        <v>420</v>
      </c>
      <c r="U60" s="82" t="s">
        <v>425</v>
      </c>
      <c r="V60" s="75" t="s">
        <v>416</v>
      </c>
      <c r="W60" s="75" t="s">
        <v>416</v>
      </c>
      <c r="X60" s="75" t="s">
        <v>416</v>
      </c>
      <c r="Y60" s="75" t="s">
        <v>416</v>
      </c>
      <c r="Z60" s="75" t="s">
        <v>416</v>
      </c>
    </row>
    <row r="61" spans="1:26" x14ac:dyDescent="0.25">
      <c r="A61" s="74">
        <v>260420010034</v>
      </c>
      <c r="B61" s="75" t="s">
        <v>269</v>
      </c>
      <c r="C61" s="100" t="s">
        <v>121</v>
      </c>
      <c r="D61" s="75" t="s">
        <v>437</v>
      </c>
      <c r="E61" s="84">
        <v>18</v>
      </c>
      <c r="F61" s="83">
        <v>29.7</v>
      </c>
      <c r="G61" s="83">
        <v>35</v>
      </c>
      <c r="H61" s="83">
        <v>8.5</v>
      </c>
      <c r="I61" s="74">
        <v>334</v>
      </c>
      <c r="J61" s="84">
        <v>74.900000000000006</v>
      </c>
      <c r="K61" s="84">
        <v>14.7</v>
      </c>
      <c r="L61" s="83">
        <v>31.4</v>
      </c>
      <c r="M61" s="85" t="s">
        <v>424</v>
      </c>
      <c r="N61" s="83">
        <v>6.5</v>
      </c>
      <c r="O61" s="83">
        <v>192.2</v>
      </c>
      <c r="P61" s="83">
        <v>174.9</v>
      </c>
      <c r="Q61" s="81">
        <v>0</v>
      </c>
      <c r="R61" s="81">
        <v>0</v>
      </c>
      <c r="S61" s="81">
        <v>0</v>
      </c>
      <c r="T61" s="81" t="s">
        <v>420</v>
      </c>
      <c r="U61" s="82" t="s">
        <v>425</v>
      </c>
      <c r="V61" s="75" t="s">
        <v>416</v>
      </c>
      <c r="W61" s="75" t="s">
        <v>416</v>
      </c>
      <c r="X61" s="75" t="s">
        <v>416</v>
      </c>
      <c r="Y61" s="75" t="s">
        <v>416</v>
      </c>
      <c r="Z61" s="75" t="s">
        <v>416</v>
      </c>
    </row>
    <row r="62" spans="1:26" x14ac:dyDescent="0.25">
      <c r="A62" s="74">
        <v>260420010035</v>
      </c>
      <c r="B62" s="75" t="s">
        <v>271</v>
      </c>
      <c r="C62" s="100" t="s">
        <v>121</v>
      </c>
      <c r="D62" s="75" t="s">
        <v>433</v>
      </c>
      <c r="E62" s="84">
        <v>15.9</v>
      </c>
      <c r="F62" s="83">
        <v>30.2</v>
      </c>
      <c r="G62" s="83">
        <v>34.1</v>
      </c>
      <c r="H62" s="83">
        <v>8.8000000000000007</v>
      </c>
      <c r="I62" s="74">
        <v>331</v>
      </c>
      <c r="J62" s="84">
        <v>109.3</v>
      </c>
      <c r="K62" s="84">
        <v>11.1</v>
      </c>
      <c r="L62" s="83">
        <v>23.7</v>
      </c>
      <c r="M62" s="85" t="s">
        <v>422</v>
      </c>
      <c r="N62" s="85">
        <v>8</v>
      </c>
      <c r="O62" s="83">
        <v>143.69999999999999</v>
      </c>
      <c r="P62" s="83">
        <v>210.6</v>
      </c>
      <c r="Q62" s="81">
        <v>0</v>
      </c>
      <c r="R62" s="81">
        <v>0</v>
      </c>
      <c r="S62" s="81">
        <v>0</v>
      </c>
      <c r="T62" s="81" t="s">
        <v>420</v>
      </c>
      <c r="U62" s="82" t="s">
        <v>425</v>
      </c>
      <c r="V62" s="75" t="s">
        <v>416</v>
      </c>
      <c r="W62" s="75" t="s">
        <v>416</v>
      </c>
      <c r="X62" s="75" t="s">
        <v>416</v>
      </c>
      <c r="Y62" s="75" t="s">
        <v>416</v>
      </c>
      <c r="Z62" s="75" t="s">
        <v>416</v>
      </c>
    </row>
    <row r="63" spans="1:26" ht="26.25" x14ac:dyDescent="0.25">
      <c r="A63" s="74">
        <v>260420010036</v>
      </c>
      <c r="B63" s="75" t="s">
        <v>322</v>
      </c>
      <c r="C63" s="100" t="s">
        <v>121</v>
      </c>
      <c r="D63" s="75" t="s">
        <v>438</v>
      </c>
      <c r="E63" s="84">
        <v>15.2</v>
      </c>
      <c r="F63" s="83">
        <v>28.5</v>
      </c>
      <c r="G63" s="83">
        <v>34.700000000000003</v>
      </c>
      <c r="H63" s="83">
        <v>5.9</v>
      </c>
      <c r="I63" s="74">
        <v>321</v>
      </c>
      <c r="J63" s="84">
        <v>84.3</v>
      </c>
      <c r="K63" s="84">
        <v>10.7</v>
      </c>
      <c r="L63" s="83">
        <v>22.9</v>
      </c>
      <c r="M63" s="83" t="s">
        <v>418</v>
      </c>
      <c r="N63" s="83">
        <v>5.5</v>
      </c>
      <c r="O63" s="83">
        <v>138.1</v>
      </c>
      <c r="P63" s="83">
        <v>239.3</v>
      </c>
      <c r="Q63" s="81">
        <v>0</v>
      </c>
      <c r="R63" s="81">
        <v>0</v>
      </c>
      <c r="S63" s="81">
        <v>0</v>
      </c>
      <c r="T63" s="81" t="s">
        <v>420</v>
      </c>
      <c r="U63" s="82" t="s">
        <v>447</v>
      </c>
      <c r="V63" s="75" t="s">
        <v>416</v>
      </c>
      <c r="W63" s="75" t="s">
        <v>416</v>
      </c>
      <c r="X63" s="75" t="s">
        <v>416</v>
      </c>
      <c r="Y63" s="75" t="s">
        <v>416</v>
      </c>
      <c r="Z63" s="75" t="s">
        <v>416</v>
      </c>
    </row>
    <row r="64" spans="1:26" x14ac:dyDescent="0.25">
      <c r="A64" s="74">
        <v>260420010037</v>
      </c>
      <c r="B64" s="75" t="s">
        <v>248</v>
      </c>
      <c r="C64" s="100" t="s">
        <v>121</v>
      </c>
      <c r="D64" s="75" t="s">
        <v>465</v>
      </c>
      <c r="E64" s="84">
        <v>17.2</v>
      </c>
      <c r="F64" s="83">
        <v>33.200000000000003</v>
      </c>
      <c r="G64" s="83">
        <v>36</v>
      </c>
      <c r="H64" s="83">
        <v>7.8</v>
      </c>
      <c r="I64" s="74">
        <v>284</v>
      </c>
      <c r="J64" s="84">
        <v>86</v>
      </c>
      <c r="K64" s="84">
        <v>11.7</v>
      </c>
      <c r="L64" s="83">
        <v>25.1</v>
      </c>
      <c r="M64" s="85" t="s">
        <v>432</v>
      </c>
      <c r="N64" s="85">
        <v>7.8</v>
      </c>
      <c r="O64" s="88">
        <v>208.8</v>
      </c>
      <c r="P64" s="83">
        <v>325.60000000000002</v>
      </c>
      <c r="Q64" s="82" t="s">
        <v>466</v>
      </c>
      <c r="R64" s="82" t="s">
        <v>467</v>
      </c>
      <c r="S64" s="81">
        <v>0</v>
      </c>
      <c r="T64" s="81" t="s">
        <v>420</v>
      </c>
      <c r="U64" s="82" t="s">
        <v>444</v>
      </c>
      <c r="V64" s="75" t="s">
        <v>416</v>
      </c>
      <c r="W64" s="75" t="s">
        <v>416</v>
      </c>
      <c r="X64" s="75" t="s">
        <v>416</v>
      </c>
      <c r="Y64" s="75" t="s">
        <v>416</v>
      </c>
      <c r="Z64" s="75" t="s">
        <v>416</v>
      </c>
    </row>
    <row r="65" spans="1:26" x14ac:dyDescent="0.25">
      <c r="A65" s="74">
        <v>260420010038</v>
      </c>
      <c r="B65" s="75" t="s">
        <v>230</v>
      </c>
      <c r="C65" s="100" t="s">
        <v>121</v>
      </c>
      <c r="D65" s="75" t="s">
        <v>465</v>
      </c>
      <c r="E65" s="84">
        <v>17.2</v>
      </c>
      <c r="F65" s="83">
        <v>30.2</v>
      </c>
      <c r="G65" s="85">
        <v>36.4</v>
      </c>
      <c r="H65" s="83">
        <v>7.7</v>
      </c>
      <c r="I65" s="74">
        <v>308</v>
      </c>
      <c r="J65" s="84">
        <v>82.8</v>
      </c>
      <c r="K65" s="84">
        <v>11.6</v>
      </c>
      <c r="L65" s="83">
        <v>24.9</v>
      </c>
      <c r="M65" s="85">
        <v>1</v>
      </c>
      <c r="N65" s="83">
        <v>5.7</v>
      </c>
      <c r="O65" s="83">
        <v>149.19999999999999</v>
      </c>
      <c r="P65" s="83">
        <v>193.1</v>
      </c>
      <c r="Q65" s="81">
        <v>0</v>
      </c>
      <c r="R65" s="81">
        <v>0</v>
      </c>
      <c r="S65" s="81">
        <v>0</v>
      </c>
      <c r="T65" s="81" t="s">
        <v>420</v>
      </c>
      <c r="U65" s="82" t="s">
        <v>415</v>
      </c>
      <c r="V65" s="75" t="s">
        <v>416</v>
      </c>
      <c r="W65" s="75" t="s">
        <v>416</v>
      </c>
      <c r="X65" s="75" t="s">
        <v>416</v>
      </c>
      <c r="Y65" s="75" t="s">
        <v>416</v>
      </c>
      <c r="Z65" s="75" t="s">
        <v>416</v>
      </c>
    </row>
    <row r="66" spans="1:26" x14ac:dyDescent="0.25">
      <c r="A66" s="74">
        <v>260420010039</v>
      </c>
      <c r="B66" s="75" t="s">
        <v>259</v>
      </c>
      <c r="C66" s="100" t="s">
        <v>190</v>
      </c>
      <c r="D66" s="75" t="s">
        <v>417</v>
      </c>
      <c r="E66" s="84">
        <v>13.6</v>
      </c>
      <c r="F66" s="83">
        <v>31.9</v>
      </c>
      <c r="G66" s="83">
        <v>34.5</v>
      </c>
      <c r="H66" s="83">
        <v>6.3</v>
      </c>
      <c r="I66" s="74">
        <v>252</v>
      </c>
      <c r="J66" s="84">
        <v>78.599999999999994</v>
      </c>
      <c r="K66" s="84">
        <v>19.3</v>
      </c>
      <c r="L66" s="83">
        <v>41.4</v>
      </c>
      <c r="M66" s="83" t="s">
        <v>427</v>
      </c>
      <c r="N66" s="88">
        <v>3.1</v>
      </c>
      <c r="O66" s="83">
        <v>157.69999999999999</v>
      </c>
      <c r="P66" s="83">
        <v>68.2</v>
      </c>
      <c r="Q66" s="81">
        <v>0</v>
      </c>
      <c r="R66" s="81">
        <v>0</v>
      </c>
      <c r="S66" s="82">
        <v>25</v>
      </c>
      <c r="T66" s="81" t="s">
        <v>420</v>
      </c>
      <c r="U66" s="82" t="s">
        <v>415</v>
      </c>
      <c r="V66" s="75" t="s">
        <v>416</v>
      </c>
      <c r="W66" s="75" t="s">
        <v>416</v>
      </c>
      <c r="X66" s="75" t="s">
        <v>416</v>
      </c>
      <c r="Y66" s="75" t="s">
        <v>416</v>
      </c>
      <c r="Z66" s="75" t="s">
        <v>416</v>
      </c>
    </row>
    <row r="67" spans="1:26" x14ac:dyDescent="0.25">
      <c r="A67" s="74">
        <v>260420010040</v>
      </c>
      <c r="B67" s="75" t="s">
        <v>213</v>
      </c>
      <c r="C67" s="100" t="s">
        <v>121</v>
      </c>
      <c r="D67" s="75" t="s">
        <v>412</v>
      </c>
      <c r="E67" s="84">
        <v>17.399999999999999</v>
      </c>
      <c r="F67" s="83">
        <v>30.4</v>
      </c>
      <c r="G67" s="83">
        <v>35.200000000000003</v>
      </c>
      <c r="H67" s="83">
        <v>8.1999999999999993</v>
      </c>
      <c r="I67" s="74">
        <v>360</v>
      </c>
      <c r="J67" s="84">
        <v>87.7</v>
      </c>
      <c r="K67" s="84">
        <v>11.4</v>
      </c>
      <c r="L67" s="83">
        <v>24.4</v>
      </c>
      <c r="M67" s="83" t="s">
        <v>418</v>
      </c>
      <c r="N67" s="83">
        <v>6.1</v>
      </c>
      <c r="O67" s="85">
        <v>273.89999999999998</v>
      </c>
      <c r="P67" s="83">
        <v>276.2</v>
      </c>
      <c r="Q67" s="81">
        <v>0</v>
      </c>
      <c r="R67" s="81">
        <v>0</v>
      </c>
      <c r="S67" s="81">
        <v>0</v>
      </c>
      <c r="T67" s="81" t="s">
        <v>420</v>
      </c>
      <c r="U67" s="82" t="s">
        <v>415</v>
      </c>
      <c r="V67" s="75" t="s">
        <v>416</v>
      </c>
      <c r="W67" s="75" t="s">
        <v>416</v>
      </c>
      <c r="X67" s="75" t="s">
        <v>416</v>
      </c>
      <c r="Y67" s="75" t="s">
        <v>416</v>
      </c>
      <c r="Z67" s="75" t="s">
        <v>416</v>
      </c>
    </row>
    <row r="68" spans="1:26" x14ac:dyDescent="0.25">
      <c r="A68" s="74">
        <v>260420010041</v>
      </c>
      <c r="B68" s="75" t="s">
        <v>260</v>
      </c>
      <c r="C68" s="100" t="s">
        <v>121</v>
      </c>
      <c r="D68" s="75" t="s">
        <v>468</v>
      </c>
      <c r="E68" s="84">
        <v>16.3</v>
      </c>
      <c r="F68" s="83">
        <v>29.3</v>
      </c>
      <c r="G68" s="83">
        <v>34.5</v>
      </c>
      <c r="H68" s="83">
        <v>5.9</v>
      </c>
      <c r="I68" s="74">
        <v>203</v>
      </c>
      <c r="J68" s="84">
        <v>93</v>
      </c>
      <c r="K68" s="84">
        <v>17.7</v>
      </c>
      <c r="L68" s="83">
        <v>37.799999999999997</v>
      </c>
      <c r="M68" s="85" t="s">
        <v>422</v>
      </c>
      <c r="N68" s="83">
        <v>6.6</v>
      </c>
      <c r="O68" s="83">
        <v>179.2</v>
      </c>
      <c r="P68" s="83">
        <v>213.3</v>
      </c>
      <c r="Q68" s="81">
        <v>0</v>
      </c>
      <c r="R68" s="81">
        <v>0</v>
      </c>
      <c r="S68" s="82">
        <v>10</v>
      </c>
      <c r="T68" s="81" t="s">
        <v>420</v>
      </c>
      <c r="U68" s="82" t="s">
        <v>415</v>
      </c>
      <c r="V68" s="75" t="s">
        <v>416</v>
      </c>
      <c r="W68" s="75" t="s">
        <v>416</v>
      </c>
      <c r="X68" s="75" t="s">
        <v>416</v>
      </c>
      <c r="Y68" s="75" t="s">
        <v>416</v>
      </c>
      <c r="Z68" s="75" t="s">
        <v>416</v>
      </c>
    </row>
    <row r="69" spans="1:26" x14ac:dyDescent="0.25">
      <c r="A69" s="74">
        <v>260420010042</v>
      </c>
      <c r="B69" s="75" t="s">
        <v>256</v>
      </c>
      <c r="C69" s="100" t="s">
        <v>121</v>
      </c>
      <c r="D69" s="75" t="s">
        <v>419</v>
      </c>
      <c r="E69" s="84">
        <v>15.8</v>
      </c>
      <c r="F69" s="85">
        <v>33.4</v>
      </c>
      <c r="G69" s="83">
        <v>35.5</v>
      </c>
      <c r="H69" s="85">
        <v>16</v>
      </c>
      <c r="I69" s="74">
        <v>333</v>
      </c>
      <c r="J69" s="84">
        <v>70</v>
      </c>
      <c r="K69" s="84">
        <v>8.6</v>
      </c>
      <c r="L69" s="83">
        <v>18.399999999999999</v>
      </c>
      <c r="M69" s="85" t="s">
        <v>422</v>
      </c>
      <c r="N69" s="83">
        <v>4.8</v>
      </c>
      <c r="O69" s="88">
        <v>204.5</v>
      </c>
      <c r="P69" s="83">
        <v>273.60000000000002</v>
      </c>
      <c r="Q69" s="81">
        <v>0</v>
      </c>
      <c r="R69" s="81">
        <v>0</v>
      </c>
      <c r="S69" s="81">
        <v>0</v>
      </c>
      <c r="T69" s="81" t="s">
        <v>420</v>
      </c>
      <c r="U69" s="82" t="s">
        <v>415</v>
      </c>
      <c r="V69" s="75" t="s">
        <v>416</v>
      </c>
      <c r="W69" s="75" t="s">
        <v>416</v>
      </c>
      <c r="X69" s="75" t="s">
        <v>416</v>
      </c>
      <c r="Y69" s="75" t="s">
        <v>416</v>
      </c>
      <c r="Z69" s="75" t="s">
        <v>416</v>
      </c>
    </row>
    <row r="70" spans="1:26" x14ac:dyDescent="0.25">
      <c r="A70" s="74">
        <v>260420010043</v>
      </c>
      <c r="B70" s="75" t="s">
        <v>251</v>
      </c>
      <c r="C70" s="100" t="s">
        <v>121</v>
      </c>
      <c r="D70" s="75" t="s">
        <v>442</v>
      </c>
      <c r="E70" s="84">
        <v>15.4</v>
      </c>
      <c r="F70" s="83">
        <v>33</v>
      </c>
      <c r="G70" s="83">
        <v>34.200000000000003</v>
      </c>
      <c r="H70" s="83">
        <v>8.6</v>
      </c>
      <c r="I70" s="74">
        <v>248</v>
      </c>
      <c r="J70" s="88">
        <v>135.5</v>
      </c>
      <c r="K70" s="84">
        <v>11.2</v>
      </c>
      <c r="L70" s="83">
        <v>24</v>
      </c>
      <c r="M70" s="85">
        <v>1</v>
      </c>
      <c r="N70" s="83">
        <v>4.5</v>
      </c>
      <c r="O70" s="83">
        <v>160.19999999999999</v>
      </c>
      <c r="P70" s="83">
        <v>68.400000000000006</v>
      </c>
      <c r="Q70" s="82">
        <v>28</v>
      </c>
      <c r="R70" s="82" t="s">
        <v>452</v>
      </c>
      <c r="S70" s="81">
        <v>0</v>
      </c>
      <c r="T70" s="81" t="s">
        <v>420</v>
      </c>
      <c r="U70" s="82" t="s">
        <v>415</v>
      </c>
      <c r="V70" s="75" t="s">
        <v>416</v>
      </c>
      <c r="W70" s="75" t="s">
        <v>416</v>
      </c>
      <c r="X70" s="75" t="s">
        <v>416</v>
      </c>
      <c r="Y70" s="75" t="s">
        <v>416</v>
      </c>
      <c r="Z70" s="75" t="s">
        <v>416</v>
      </c>
    </row>
    <row r="71" spans="1:26" x14ac:dyDescent="0.25">
      <c r="A71" s="74">
        <v>260420010044</v>
      </c>
      <c r="B71" s="75" t="s">
        <v>272</v>
      </c>
      <c r="C71" s="100" t="s">
        <v>121</v>
      </c>
      <c r="D71" s="75" t="s">
        <v>436</v>
      </c>
      <c r="E71" s="84">
        <v>16.399999999999999</v>
      </c>
      <c r="F71" s="83">
        <v>31.3</v>
      </c>
      <c r="G71" s="85">
        <v>36.1</v>
      </c>
      <c r="H71" s="83">
        <v>5.6</v>
      </c>
      <c r="I71" s="74">
        <v>247</v>
      </c>
      <c r="J71" s="84">
        <v>85.2</v>
      </c>
      <c r="K71" s="84">
        <v>14.5</v>
      </c>
      <c r="L71" s="83">
        <v>31</v>
      </c>
      <c r="M71" s="83" t="s">
        <v>418</v>
      </c>
      <c r="N71" s="83">
        <v>7.1</v>
      </c>
      <c r="O71" s="83">
        <v>160.80000000000001</v>
      </c>
      <c r="P71" s="83">
        <v>137.30000000000001</v>
      </c>
      <c r="Q71" s="81">
        <v>0</v>
      </c>
      <c r="R71" s="81">
        <v>0</v>
      </c>
      <c r="S71" s="81">
        <v>0</v>
      </c>
      <c r="T71" s="81" t="s">
        <v>420</v>
      </c>
      <c r="U71" s="81" t="s">
        <v>414</v>
      </c>
      <c r="V71" s="75" t="s">
        <v>416</v>
      </c>
      <c r="W71" s="75" t="s">
        <v>416</v>
      </c>
      <c r="X71" s="75" t="s">
        <v>416</v>
      </c>
      <c r="Y71" s="75" t="s">
        <v>416</v>
      </c>
      <c r="Z71" s="75" t="s">
        <v>416</v>
      </c>
    </row>
  </sheetData>
  <autoFilter ref="A3:Z71" xr:uid="{0F74F270-1860-494F-B1A0-2E8444916977}"/>
  <mergeCells count="5">
    <mergeCell ref="A1:Z1"/>
    <mergeCell ref="E2:I2"/>
    <mergeCell ref="J2:P2"/>
    <mergeCell ref="Q2:U2"/>
    <mergeCell ref="V2:Z2"/>
  </mergeCells>
  <conditionalFormatting sqref="A3:U3">
    <cfRule type="containsText" dxfId="18" priority="1" operator="containsText" text="NEGATIVO">
      <formula>NOT(ISERROR(SEARCH("NEGATIVO",A3)))</formula>
    </cfRule>
  </conditionalFormatting>
  <conditionalFormatting sqref="C4:C71">
    <cfRule type="containsText" dxfId="17" priority="60" operator="containsText" text="F">
      <formula>NOT(ISERROR(SEARCH("F",C4)))</formula>
    </cfRule>
    <cfRule type="containsText" dxfId="16" priority="61" operator="containsText" text="M">
      <formula>NOT(ISERROR(SEARCH("M",C4)))</formula>
    </cfRule>
  </conditionalFormatting>
  <conditionalFormatting sqref="F1:F2 F4:F1048576">
    <cfRule type="cellIs" dxfId="15" priority="3" operator="between">
      <formula>26.8</formula>
      <formula>33.2</formula>
    </cfRule>
  </conditionalFormatting>
  <conditionalFormatting sqref="G1:G2 G4:G1048576">
    <cfRule type="cellIs" dxfId="14" priority="2" operator="between">
      <formula>31</formula>
      <formula>36</formula>
    </cfRule>
  </conditionalFormatting>
  <conditionalFormatting sqref="H1:H2 H4:H1048576">
    <cfRule type="cellIs" dxfId="13" priority="4" operator="between">
      <formula>3.5</formula>
      <formula>10.3</formula>
    </cfRule>
  </conditionalFormatting>
  <conditionalFormatting sqref="I1:I2 I4:I1048576">
    <cfRule type="cellIs" dxfId="12" priority="5" operator="between">
      <formula>150</formula>
      <formula>450</formula>
    </cfRule>
  </conditionalFormatting>
  <conditionalFormatting sqref="K1:K2 K72:K1048576">
    <cfRule type="cellIs" dxfId="11" priority="21" operator="between">
      <formula>6</formula>
      <formula>21</formula>
    </cfRule>
  </conditionalFormatting>
  <conditionalFormatting sqref="L1:L2 L4:L1048576">
    <cfRule type="cellIs" dxfId="10" priority="14" operator="between">
      <formula>15</formula>
      <formula>45</formula>
    </cfRule>
  </conditionalFormatting>
  <conditionalFormatting sqref="M1:M2 M4:M1048576">
    <cfRule type="cellIs" dxfId="9" priority="13" operator="between">
      <formula>"0.5"</formula>
      <formula>"0.9"</formula>
    </cfRule>
  </conditionalFormatting>
  <conditionalFormatting sqref="N1:N2 N4:N1048576">
    <cfRule type="cellIs" dxfId="8" priority="10" operator="between">
      <formula>3.6</formula>
      <formula>7.7</formula>
    </cfRule>
    <cfRule type="cellIs" dxfId="7" priority="11" operator="between">
      <formula>"3.6"</formula>
      <formula>"7.7"</formula>
    </cfRule>
    <cfRule type="cellIs" dxfId="6" priority="12" operator="between">
      <formula>"7,8"</formula>
      <formula>10000000000</formula>
    </cfRule>
  </conditionalFormatting>
  <conditionalFormatting sqref="O1:O2 O4:O1048576">
    <cfRule type="cellIs" dxfId="5" priority="9" operator="between">
      <formula>0.1</formula>
      <formula>200.99</formula>
    </cfRule>
  </conditionalFormatting>
  <conditionalFormatting sqref="P1:P2 P4:P1048576">
    <cfRule type="cellIs" dxfId="4" priority="6" operator="between">
      <formula>200</formula>
      <formula>499.99</formula>
    </cfRule>
    <cfRule type="cellIs" dxfId="3" priority="7" operator="between">
      <formula>161</formula>
      <formula>199.99</formula>
    </cfRule>
    <cfRule type="cellIs" dxfId="2" priority="8" operator="between">
      <formula>40</formula>
      <formula>160.99</formula>
    </cfRule>
  </conditionalFormatting>
  <conditionalFormatting sqref="Q1:Z1 Q72:Z1048576">
    <cfRule type="cellIs" dxfId="1" priority="29" operator="notEqual">
      <formula>0</formula>
    </cfRule>
  </conditionalFormatting>
  <conditionalFormatting sqref="V1:Z1 V2 V3:Z1048576">
    <cfRule type="containsText" dxfId="0" priority="16" operator="containsText" text="NEGATIVO">
      <formula>NOT(ISERROR(SEARCH("NEGATIVO",V1)))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C31C-E3B3-49E2-B561-BED15073C8FC}">
  <dimension ref="A1:AW80"/>
  <sheetViews>
    <sheetView topLeftCell="A42" zoomScale="55" zoomScaleNormal="55" workbookViewId="0">
      <selection activeCell="B53" sqref="B53:B61"/>
    </sheetView>
  </sheetViews>
  <sheetFormatPr baseColWidth="10" defaultRowHeight="15" x14ac:dyDescent="0.25"/>
  <cols>
    <col min="12" max="12" width="21.7109375" customWidth="1"/>
  </cols>
  <sheetData>
    <row r="1" spans="1:49" ht="26.25" customHeight="1" thickBot="1" x14ac:dyDescent="0.3"/>
    <row r="2" spans="1:49" x14ac:dyDescent="0.25">
      <c r="A2" s="119" t="s">
        <v>102</v>
      </c>
      <c r="B2" s="120"/>
      <c r="C2" s="120"/>
      <c r="D2" s="121"/>
      <c r="Y2" s="119" t="s">
        <v>129</v>
      </c>
      <c r="Z2" s="120"/>
      <c r="AA2" s="120"/>
      <c r="AB2" s="121"/>
      <c r="AU2" s="42" t="s">
        <v>130</v>
      </c>
      <c r="AV2" s="43"/>
      <c r="AW2" s="44"/>
    </row>
    <row r="3" spans="1:49" ht="15.75" thickBot="1" x14ac:dyDescent="0.3">
      <c r="A3" s="28" t="s">
        <v>76</v>
      </c>
      <c r="B3" s="29" t="s">
        <v>77</v>
      </c>
      <c r="C3" s="29" t="s">
        <v>78</v>
      </c>
      <c r="D3" s="30" t="s">
        <v>125</v>
      </c>
      <c r="Y3" s="21" t="s">
        <v>89</v>
      </c>
      <c r="Z3" s="22"/>
      <c r="AA3" s="22"/>
      <c r="AB3" s="23"/>
      <c r="AK3" s="22" t="s">
        <v>103</v>
      </c>
      <c r="AL3" s="22"/>
      <c r="AM3" s="22"/>
      <c r="AU3" s="45" t="s">
        <v>103</v>
      </c>
      <c r="AV3" s="46"/>
      <c r="AW3" s="47"/>
    </row>
    <row r="4" spans="1:49" x14ac:dyDescent="0.25">
      <c r="A4" s="8" t="s">
        <v>287</v>
      </c>
      <c r="B4">
        <v>1</v>
      </c>
      <c r="M4" s="39" t="s">
        <v>80</v>
      </c>
      <c r="N4" s="40"/>
      <c r="O4" s="40"/>
      <c r="P4" s="41"/>
      <c r="Y4" t="str">
        <f>'GRAFICAS OCULTAR'!O2</f>
        <v>NORMAL</v>
      </c>
      <c r="Z4">
        <f>'GRAFICAS OCULTAR'!P2</f>
        <v>0</v>
      </c>
      <c r="AK4" s="10" t="s">
        <v>105</v>
      </c>
      <c r="AL4">
        <v>66</v>
      </c>
      <c r="AM4" s="12"/>
      <c r="AU4" s="10" t="str">
        <f>'GRAFICAS OCULTAR'!AD3</f>
        <v>Baja</v>
      </c>
      <c r="AV4">
        <f>'GRAFICAS OCULTAR'!AE3</f>
        <v>0</v>
      </c>
      <c r="AW4" s="12"/>
    </row>
    <row r="5" spans="1:49" x14ac:dyDescent="0.25">
      <c r="A5" s="8" t="s">
        <v>120</v>
      </c>
      <c r="B5">
        <v>1</v>
      </c>
      <c r="M5" s="10"/>
      <c r="N5" s="46" t="s">
        <v>111</v>
      </c>
      <c r="O5" s="46"/>
      <c r="P5" s="12"/>
      <c r="Y5" t="str">
        <f>'GRAFICAS OCULTAR'!O3</f>
        <v>ESCOLIOSIS LEVE</v>
      </c>
      <c r="Z5">
        <f>'GRAFICAS OCULTAR'!P3</f>
        <v>61</v>
      </c>
      <c r="AK5" t="s">
        <v>110</v>
      </c>
      <c r="AL5">
        <v>2</v>
      </c>
      <c r="AM5" s="12"/>
      <c r="AU5" s="10" t="str">
        <f>'GRAFICAS OCULTAR'!AD4</f>
        <v>Normal</v>
      </c>
      <c r="AV5">
        <f>'GRAFICAS OCULTAR'!AE4</f>
        <v>66</v>
      </c>
      <c r="AW5" s="12"/>
    </row>
    <row r="6" spans="1:49" x14ac:dyDescent="0.25">
      <c r="A6" s="8" t="s">
        <v>283</v>
      </c>
      <c r="B6">
        <v>6</v>
      </c>
      <c r="C6">
        <v>2</v>
      </c>
      <c r="M6" s="10" t="s">
        <v>112</v>
      </c>
      <c r="N6">
        <f>'GRAFICAS OCULTAR'!D62</f>
        <v>1</v>
      </c>
      <c r="P6" s="12"/>
      <c r="Y6" t="str">
        <f>'GRAFICAS OCULTAR'!O4</f>
        <v>ESCOLIOSIS MODERADA</v>
      </c>
      <c r="Z6">
        <f>'GRAFICAS OCULTAR'!P4</f>
        <v>7</v>
      </c>
      <c r="AK6" t="s">
        <v>107</v>
      </c>
      <c r="AL6">
        <f>SUM(AL3:AL5)</f>
        <v>68</v>
      </c>
      <c r="AM6" s="12"/>
      <c r="AU6" s="10" t="str">
        <f>'GRAFICAS OCULTAR'!AD5</f>
        <v>Alterada</v>
      </c>
      <c r="AV6">
        <f>'GRAFICAS OCULTAR'!AE5</f>
        <v>1</v>
      </c>
      <c r="AW6" s="12"/>
    </row>
    <row r="7" spans="1:49" x14ac:dyDescent="0.25">
      <c r="A7" s="8" t="s">
        <v>284</v>
      </c>
      <c r="B7">
        <v>1</v>
      </c>
      <c r="M7" s="10" t="s">
        <v>113</v>
      </c>
      <c r="N7">
        <f>'GRAFICAS OCULTAR'!D61</f>
        <v>1</v>
      </c>
      <c r="P7" s="12"/>
      <c r="Y7" t="str">
        <f>'GRAFICAS OCULTAR'!O5</f>
        <v>ESCOLIOSIS GRAVE</v>
      </c>
      <c r="Z7">
        <f>'GRAFICAS OCULTAR'!P5</f>
        <v>0</v>
      </c>
      <c r="AU7" s="10" t="str">
        <f>'GRAFICAS OCULTAR'!AD6</f>
        <v>PB diabetes</v>
      </c>
      <c r="AV7">
        <f>'GRAFICAS OCULTAR'!AE6</f>
        <v>1</v>
      </c>
      <c r="AW7" s="12"/>
    </row>
    <row r="8" spans="1:49" ht="15.75" thickBot="1" x14ac:dyDescent="0.3">
      <c r="A8" s="8" t="s">
        <v>285</v>
      </c>
      <c r="B8">
        <v>1</v>
      </c>
      <c r="M8" s="10" t="s">
        <v>115</v>
      </c>
      <c r="N8">
        <f>'GRAFICAS OCULTAR'!D60</f>
        <v>66</v>
      </c>
      <c r="P8" s="12"/>
      <c r="AU8" s="10" t="str">
        <f>'GRAFICAS OCULTAR'!AD7</f>
        <v>Etiquetas de fila</v>
      </c>
      <c r="AV8" t="str">
        <f>'GRAFICAS OCULTAR'!AE7</f>
        <v>Cuenta de GLUC</v>
      </c>
      <c r="AW8" s="12"/>
    </row>
    <row r="9" spans="1:49" ht="15.75" thickBot="1" x14ac:dyDescent="0.3">
      <c r="A9" t="s">
        <v>286</v>
      </c>
      <c r="B9">
        <v>2</v>
      </c>
      <c r="M9" s="13" t="s">
        <v>107</v>
      </c>
      <c r="N9" s="14">
        <f>SUM(N6:N8)</f>
        <v>68</v>
      </c>
      <c r="O9" s="14"/>
      <c r="P9" s="15"/>
      <c r="AK9" s="50" t="s">
        <v>131</v>
      </c>
      <c r="AL9" s="51"/>
      <c r="AM9" s="52"/>
      <c r="AU9" s="13"/>
      <c r="AV9" s="14"/>
      <c r="AW9" s="15"/>
    </row>
    <row r="10" spans="1:49" x14ac:dyDescent="0.25">
      <c r="A10" s="8"/>
      <c r="AK10" s="22" t="s">
        <v>132</v>
      </c>
      <c r="AL10" s="22"/>
      <c r="AM10" s="22"/>
    </row>
    <row r="11" spans="1:49" x14ac:dyDescent="0.25">
      <c r="A11" s="8"/>
      <c r="AK11" s="10" t="s">
        <v>105</v>
      </c>
      <c r="AL11">
        <v>54</v>
      </c>
      <c r="AM11" s="12"/>
    </row>
    <row r="12" spans="1:49" ht="15.75" thickBot="1" x14ac:dyDescent="0.3">
      <c r="A12" s="8"/>
      <c r="AK12" t="s">
        <v>110</v>
      </c>
      <c r="AL12">
        <v>4</v>
      </c>
      <c r="AM12" s="12"/>
    </row>
    <row r="13" spans="1:49" ht="15.75" thickBot="1" x14ac:dyDescent="0.3">
      <c r="A13" s="119" t="s">
        <v>119</v>
      </c>
      <c r="B13" s="121"/>
      <c r="AK13" t="s">
        <v>107</v>
      </c>
      <c r="AL13">
        <f>SUM(AL10:AL12)</f>
        <v>58</v>
      </c>
      <c r="AM13" s="12"/>
    </row>
    <row r="14" spans="1:49" x14ac:dyDescent="0.25">
      <c r="A14" s="21" t="s">
        <v>6</v>
      </c>
      <c r="B14" s="23"/>
      <c r="AK14" s="10"/>
      <c r="AU14" s="42" t="s">
        <v>130</v>
      </c>
      <c r="AV14" s="43"/>
      <c r="AW14" s="44"/>
    </row>
    <row r="15" spans="1:49" ht="15.75" thickBot="1" x14ac:dyDescent="0.3">
      <c r="A15" s="26" t="s">
        <v>74</v>
      </c>
      <c r="B15" s="24">
        <v>1</v>
      </c>
      <c r="AK15" s="10"/>
      <c r="AU15" s="45" t="s">
        <v>108</v>
      </c>
      <c r="AV15" s="46"/>
      <c r="AW15" s="47"/>
    </row>
    <row r="16" spans="1:49" ht="15.75" thickBot="1" x14ac:dyDescent="0.3">
      <c r="A16" s="26" t="s">
        <v>75</v>
      </c>
      <c r="B16" s="24">
        <v>12</v>
      </c>
      <c r="M16" s="39" t="s">
        <v>117</v>
      </c>
      <c r="N16" s="41"/>
      <c r="Y16" s="119" t="s">
        <v>129</v>
      </c>
      <c r="Z16" s="120"/>
      <c r="AA16" s="120"/>
      <c r="AB16" s="121"/>
      <c r="AK16" s="50" t="s">
        <v>131</v>
      </c>
      <c r="AL16" s="51"/>
      <c r="AM16" s="52"/>
      <c r="AU16" s="10" t="str">
        <f>'GRAFICAS OCULTAR'!AG3</f>
        <v>Normal</v>
      </c>
      <c r="AV16">
        <f>'GRAFICAS OCULTAR'!AH3</f>
        <v>56</v>
      </c>
      <c r="AW16" s="12"/>
    </row>
    <row r="17" spans="1:49" x14ac:dyDescent="0.25">
      <c r="A17" s="26" t="s">
        <v>153</v>
      </c>
      <c r="B17" s="24">
        <v>1</v>
      </c>
      <c r="M17" s="16"/>
      <c r="N17" s="17"/>
      <c r="Y17" s="21" t="s">
        <v>94</v>
      </c>
      <c r="Z17" s="22"/>
      <c r="AA17" s="22"/>
      <c r="AB17" s="23"/>
      <c r="AK17" s="22" t="s">
        <v>133</v>
      </c>
      <c r="AL17" s="22"/>
      <c r="AM17" s="22"/>
      <c r="AU17" s="10" t="str">
        <f>'GRAFICAS OCULTAR'!AG4</f>
        <v>Moderado</v>
      </c>
      <c r="AV17">
        <f>'GRAFICAS OCULTAR'!AH4</f>
        <v>10</v>
      </c>
      <c r="AW17" s="12"/>
    </row>
    <row r="18" spans="1:49" x14ac:dyDescent="0.25">
      <c r="A18" s="26"/>
      <c r="B18" s="24"/>
      <c r="J18" s="8"/>
      <c r="M18" s="8" t="s">
        <v>157</v>
      </c>
      <c r="Y18" t="str">
        <f>'GRAFICAS OCULTAR'!R2</f>
        <v>DISMINUIDA</v>
      </c>
      <c r="Z18">
        <f>'GRAFICAS OCULTAR'!S2</f>
        <v>0</v>
      </c>
      <c r="AK18" s="10" t="s">
        <v>105</v>
      </c>
      <c r="AL18">
        <v>62</v>
      </c>
      <c r="AM18" s="12"/>
      <c r="AU18" s="10" t="str">
        <f>'GRAFICAS OCULTAR'!AG5</f>
        <v>Alto</v>
      </c>
      <c r="AV18">
        <f>'GRAFICAS OCULTAR'!AH5</f>
        <v>2</v>
      </c>
      <c r="AW18" s="12"/>
    </row>
    <row r="19" spans="1:49" ht="15.75" thickBot="1" x14ac:dyDescent="0.3">
      <c r="A19" s="27"/>
      <c r="B19" s="25"/>
      <c r="J19" s="8"/>
      <c r="M19" s="8" t="s">
        <v>34</v>
      </c>
      <c r="N19">
        <v>1</v>
      </c>
      <c r="Y19" t="str">
        <f>'GRAFICAS OCULTAR'!R3</f>
        <v>NORMAL</v>
      </c>
      <c r="Z19">
        <f>'GRAFICAS OCULTAR'!S3</f>
        <v>29</v>
      </c>
      <c r="AK19" s="10" t="s">
        <v>110</v>
      </c>
      <c r="AL19">
        <v>6</v>
      </c>
      <c r="AM19" s="12"/>
      <c r="AU19" s="10">
        <f>'GRAFICAS OCULTAR'!AG6</f>
        <v>0</v>
      </c>
      <c r="AV19">
        <f>'GRAFICAS OCULTAR'!AH6</f>
        <v>0</v>
      </c>
      <c r="AW19" s="12"/>
    </row>
    <row r="20" spans="1:49" x14ac:dyDescent="0.25">
      <c r="J20" s="8"/>
      <c r="M20" s="8" t="s">
        <v>135</v>
      </c>
      <c r="N20">
        <v>17</v>
      </c>
      <c r="Y20" t="str">
        <f>'GRAFICAS OCULTAR'!R4</f>
        <v>AUMENTADA</v>
      </c>
      <c r="Z20">
        <f>'GRAFICAS OCULTAR'!S4</f>
        <v>36</v>
      </c>
      <c r="AK20" t="s">
        <v>107</v>
      </c>
      <c r="AL20">
        <f>SUM(AL18:AL19)</f>
        <v>68</v>
      </c>
      <c r="AM20" s="12"/>
      <c r="AU20" s="10"/>
      <c r="AW20" s="12"/>
    </row>
    <row r="21" spans="1:49" ht="15.75" thickBot="1" x14ac:dyDescent="0.3">
      <c r="A21" s="64"/>
      <c r="B21" s="64"/>
      <c r="J21" s="8"/>
      <c r="M21" s="18" t="s">
        <v>22</v>
      </c>
      <c r="N21" s="19">
        <v>42</v>
      </c>
      <c r="Y21" t="str">
        <f>'GRAFICAS OCULTAR'!R5</f>
        <v>HIPERLORDOSIS</v>
      </c>
      <c r="Z21">
        <f>'GRAFICAS OCULTAR'!S5</f>
        <v>3</v>
      </c>
      <c r="AK21" s="10"/>
      <c r="AU21" s="13"/>
      <c r="AV21" s="14"/>
      <c r="AW21" s="15"/>
    </row>
    <row r="22" spans="1:49" ht="15.75" thickBot="1" x14ac:dyDescent="0.3">
      <c r="A22" s="64"/>
      <c r="B22" s="64"/>
      <c r="M22" s="20" t="s">
        <v>118</v>
      </c>
      <c r="N22" s="19">
        <f>SUM(N16:N21)</f>
        <v>60</v>
      </c>
      <c r="AK22" s="10"/>
    </row>
    <row r="23" spans="1:49" ht="15.75" thickBot="1" x14ac:dyDescent="0.3">
      <c r="A23" s="64"/>
      <c r="B23" s="64"/>
      <c r="M23" s="20"/>
      <c r="N23" s="19"/>
      <c r="AK23" s="50" t="s">
        <v>131</v>
      </c>
      <c r="AL23" s="51"/>
      <c r="AM23" s="52"/>
    </row>
    <row r="24" spans="1:49" x14ac:dyDescent="0.25">
      <c r="A24" s="64"/>
      <c r="B24" s="64"/>
      <c r="AK24" s="22" t="s">
        <v>136</v>
      </c>
      <c r="AL24" s="22"/>
      <c r="AM24" s="22"/>
    </row>
    <row r="25" spans="1:49" x14ac:dyDescent="0.25">
      <c r="A25" s="64"/>
      <c r="B25" s="64"/>
      <c r="L25" s="8"/>
      <c r="AK25" s="10" t="s">
        <v>137</v>
      </c>
      <c r="AL25">
        <f>'GRAFICAS OCULTAR'!AQ2</f>
        <v>17</v>
      </c>
      <c r="AM25" s="12"/>
    </row>
    <row r="26" spans="1:49" ht="15.75" thickBot="1" x14ac:dyDescent="0.3">
      <c r="A26" s="64"/>
      <c r="B26" s="64"/>
      <c r="L26" s="8"/>
      <c r="AK26" s="10" t="s">
        <v>138</v>
      </c>
      <c r="AL26">
        <f>'GRAFICAS OCULTAR'!AQ3</f>
        <v>51</v>
      </c>
      <c r="AM26" s="12"/>
    </row>
    <row r="27" spans="1:49" x14ac:dyDescent="0.25">
      <c r="A27" s="64"/>
      <c r="B27" s="64"/>
      <c r="L27" s="8"/>
      <c r="Y27" s="119" t="s">
        <v>129</v>
      </c>
      <c r="Z27" s="120"/>
      <c r="AA27" s="120"/>
      <c r="AB27" s="121"/>
      <c r="AK27" t="s">
        <v>107</v>
      </c>
      <c r="AL27">
        <f>SUM(AL25:AL26)</f>
        <v>68</v>
      </c>
      <c r="AM27" s="12"/>
      <c r="AU27" s="42" t="s">
        <v>130</v>
      </c>
      <c r="AV27" s="43"/>
      <c r="AW27" s="44"/>
    </row>
    <row r="28" spans="1:49" x14ac:dyDescent="0.25">
      <c r="A28" s="64"/>
      <c r="B28" s="64"/>
      <c r="L28" s="8"/>
      <c r="Y28" s="21" t="s">
        <v>98</v>
      </c>
      <c r="Z28" s="22"/>
      <c r="AA28" s="22"/>
      <c r="AB28" s="23"/>
      <c r="AU28" s="45" t="s">
        <v>114</v>
      </c>
      <c r="AV28" s="46"/>
      <c r="AW28" s="47"/>
    </row>
    <row r="29" spans="1:49" ht="15.75" thickBot="1" x14ac:dyDescent="0.3">
      <c r="A29" s="64"/>
      <c r="B29" s="64"/>
      <c r="L29" s="8"/>
      <c r="Y29" t="str">
        <f>'GRAFICAS OCULTAR'!U2</f>
        <v>NORMAL</v>
      </c>
      <c r="Z29">
        <f>'GRAFICAS OCULTAR'!V2</f>
        <v>61</v>
      </c>
      <c r="AU29" s="10"/>
      <c r="AW29" s="12"/>
    </row>
    <row r="30" spans="1:49" ht="15.75" thickBot="1" x14ac:dyDescent="0.3">
      <c r="A30" s="65"/>
      <c r="B30" s="65"/>
      <c r="Y30" t="str">
        <f>'GRAFICAS OCULTAR'!U3</f>
        <v>LEVE</v>
      </c>
      <c r="Z30">
        <f>'GRAFICAS OCULTAR'!V3</f>
        <v>7</v>
      </c>
      <c r="AK30" s="50" t="s">
        <v>131</v>
      </c>
      <c r="AL30" s="51"/>
      <c r="AM30" s="52"/>
      <c r="AU30" s="10" t="str">
        <f>'GRAFICAS OCULTAR'!AJ2</f>
        <v>Baja</v>
      </c>
      <c r="AV30">
        <f>'GRAFICAS OCULTAR'!AK2</f>
        <v>0</v>
      </c>
      <c r="AW30" s="12"/>
    </row>
    <row r="31" spans="1:49" x14ac:dyDescent="0.25">
      <c r="Y31" t="str">
        <f>'GRAFICAS OCULTAR'!U4</f>
        <v>ALTA</v>
      </c>
      <c r="Z31">
        <f>'GRAFICAS OCULTAR'!V4</f>
        <v>0</v>
      </c>
      <c r="AK31" s="22" t="s">
        <v>139</v>
      </c>
      <c r="AL31" s="22"/>
      <c r="AM31" s="22"/>
      <c r="AU31" s="10" t="str">
        <f>'GRAFICAS OCULTAR'!AJ3</f>
        <v>Normal</v>
      </c>
      <c r="AV31">
        <f>'GRAFICAS OCULTAR'!AK3</f>
        <v>38</v>
      </c>
      <c r="AW31" s="12"/>
    </row>
    <row r="32" spans="1:49" ht="15.75" thickBot="1" x14ac:dyDescent="0.3">
      <c r="M32" s="8"/>
      <c r="AK32" s="10" t="str">
        <f>'GRAFICAS OCULTAR'!AS2</f>
        <v>AUSENTES/ESCASAS</v>
      </c>
      <c r="AL32">
        <f>'GRAFICAS OCULTAR'!AT2</f>
        <v>67</v>
      </c>
      <c r="AM32" s="12"/>
      <c r="AU32" s="10" t="str">
        <f>'GRAFICAS OCULTAR'!AJ4</f>
        <v>Limite Alto</v>
      </c>
      <c r="AV32">
        <f>'GRAFICAS OCULTAR'!AK4</f>
        <v>8</v>
      </c>
      <c r="AW32" s="12"/>
    </row>
    <row r="33" spans="1:49" x14ac:dyDescent="0.25">
      <c r="A33" s="119" t="s">
        <v>117</v>
      </c>
      <c r="B33" s="121"/>
      <c r="L33" s="119" t="s">
        <v>19</v>
      </c>
      <c r="M33" s="121"/>
      <c r="AK33" s="10" t="str">
        <f>'GRAFICAS OCULTAR'!AS3</f>
        <v>MODERADAS</v>
      </c>
      <c r="AL33">
        <f>'GRAFICAS OCULTAR'!AT3</f>
        <v>1</v>
      </c>
      <c r="AM33" s="12"/>
      <c r="AU33" s="10" t="str">
        <f>'GRAFICAS OCULTAR'!AJ5</f>
        <v>Alto</v>
      </c>
      <c r="AV33">
        <f>'GRAFICAS OCULTAR'!AK5</f>
        <v>20</v>
      </c>
      <c r="AW33" s="12"/>
    </row>
    <row r="34" spans="1:49" x14ac:dyDescent="0.25">
      <c r="A34" s="122" t="s">
        <v>79</v>
      </c>
      <c r="B34" s="123"/>
      <c r="L34" t="s">
        <v>140</v>
      </c>
      <c r="M34">
        <v>45</v>
      </c>
      <c r="Y34" s="64"/>
      <c r="Z34" s="64"/>
      <c r="AA34" s="64"/>
      <c r="AB34" s="64"/>
      <c r="AC34" s="64"/>
      <c r="AK34" s="10" t="str">
        <f>'GRAFICAS OCULTAR'!AS4</f>
        <v>ABUNDANTES</v>
      </c>
      <c r="AL34">
        <f>'GRAFICAS OCULTAR'!AT4</f>
        <v>0</v>
      </c>
      <c r="AM34" s="12"/>
      <c r="AU34" s="10" t="str">
        <f>'GRAFICAS OCULTAR'!AJ6</f>
        <v>Muy alto</v>
      </c>
      <c r="AV34">
        <f>'GRAFICAS OCULTAR'!AK6</f>
        <v>2</v>
      </c>
      <c r="AW34" s="12"/>
    </row>
    <row r="35" spans="1:49" x14ac:dyDescent="0.25">
      <c r="A35" s="1" t="s">
        <v>37</v>
      </c>
      <c r="B35" s="1">
        <v>51</v>
      </c>
      <c r="L35" t="s">
        <v>141</v>
      </c>
      <c r="M35">
        <v>15</v>
      </c>
      <c r="Y35" s="64"/>
      <c r="Z35" s="64"/>
      <c r="AA35" s="64"/>
      <c r="AB35" s="64"/>
      <c r="AC35" s="64"/>
      <c r="AK35" s="10"/>
      <c r="AU35" s="10" t="str">
        <f>'GRAFICAS OCULTAR'!AJ7</f>
        <v>Etiquetas de fila</v>
      </c>
      <c r="AV35" t="str">
        <f>'GRAFICAS OCULTAR'!AK7</f>
        <v>Cuenta de TRIG</v>
      </c>
      <c r="AW35" s="12"/>
    </row>
    <row r="36" spans="1:49" ht="15.75" thickBot="1" x14ac:dyDescent="0.3">
      <c r="A36" s="1" t="s">
        <v>36</v>
      </c>
      <c r="B36" s="1">
        <v>17</v>
      </c>
      <c r="Y36" s="64"/>
      <c r="Z36" s="64"/>
      <c r="AA36" s="64"/>
      <c r="AB36" s="64"/>
      <c r="AC36" s="64"/>
      <c r="AU36" s="13"/>
      <c r="AV36" s="14"/>
      <c r="AW36" s="15"/>
    </row>
    <row r="37" spans="1:49" ht="15.75" thickBot="1" x14ac:dyDescent="0.3">
      <c r="AB37" s="53"/>
      <c r="AC37" s="53"/>
    </row>
    <row r="38" spans="1:49" ht="15.75" thickBot="1" x14ac:dyDescent="0.3">
      <c r="A38" s="119" t="s">
        <v>119</v>
      </c>
      <c r="B38" s="121"/>
      <c r="AB38" s="53"/>
      <c r="AC38" s="53"/>
    </row>
    <row r="39" spans="1:49" x14ac:dyDescent="0.25">
      <c r="A39" s="122" t="s">
        <v>86</v>
      </c>
      <c r="B39" s="123"/>
      <c r="Y39" s="115" t="s">
        <v>161</v>
      </c>
      <c r="Z39" s="116"/>
      <c r="AA39" s="117"/>
      <c r="AB39" s="53"/>
      <c r="AC39" s="53"/>
      <c r="AK39" s="118" t="s">
        <v>142</v>
      </c>
      <c r="AL39" s="118"/>
      <c r="AM39" s="46"/>
    </row>
    <row r="40" spans="1:49" x14ac:dyDescent="0.25">
      <c r="A40" s="10" t="s">
        <v>81</v>
      </c>
      <c r="B40" s="12">
        <f>'GRAFICAS OCULTAR'!G2</f>
        <v>12</v>
      </c>
      <c r="Y40" s="10" t="s">
        <v>158</v>
      </c>
      <c r="AA40" s="12"/>
      <c r="AB40" s="53"/>
      <c r="AC40" s="53"/>
      <c r="AK40" s="10" t="s">
        <v>143</v>
      </c>
      <c r="AL40">
        <v>1</v>
      </c>
      <c r="AM40" s="12"/>
    </row>
    <row r="41" spans="1:49" ht="15.75" thickBot="1" x14ac:dyDescent="0.3">
      <c r="A41" s="10" t="s">
        <v>82</v>
      </c>
      <c r="B41" s="12">
        <f>'GRAFICAS OCULTAR'!G3</f>
        <v>1</v>
      </c>
      <c r="Y41" s="10" t="s">
        <v>159</v>
      </c>
      <c r="AA41" s="12"/>
      <c r="AB41" s="53"/>
      <c r="AC41" s="53"/>
      <c r="AK41" s="10" t="s">
        <v>105</v>
      </c>
      <c r="AL41">
        <v>67</v>
      </c>
      <c r="AM41" s="12"/>
    </row>
    <row r="42" spans="1:49" ht="15.75" thickBot="1" x14ac:dyDescent="0.3">
      <c r="A42" s="13" t="s">
        <v>83</v>
      </c>
      <c r="B42" s="15">
        <f>'GRAFICAS OCULTAR'!G4</f>
        <v>1</v>
      </c>
      <c r="Y42" s="10" t="s">
        <v>160</v>
      </c>
      <c r="Z42">
        <v>6</v>
      </c>
      <c r="AA42" s="12"/>
      <c r="AB42" s="53"/>
      <c r="AC42" s="53"/>
      <c r="AK42" t="s">
        <v>110</v>
      </c>
      <c r="AU42" s="42" t="s">
        <v>130</v>
      </c>
      <c r="AV42" s="43"/>
      <c r="AW42" s="44"/>
    </row>
    <row r="43" spans="1:49" ht="15.75" thickBot="1" x14ac:dyDescent="0.3">
      <c r="A43" s="10"/>
      <c r="Y43" s="10" t="s">
        <v>105</v>
      </c>
      <c r="Z43">
        <v>54</v>
      </c>
      <c r="AA43" s="12"/>
      <c r="AB43" s="53"/>
      <c r="AC43" s="53"/>
      <c r="AK43" s="10" t="s">
        <v>107</v>
      </c>
      <c r="AL43">
        <f>SUM(AL40:AL42)</f>
        <v>68</v>
      </c>
      <c r="AM43" s="12"/>
      <c r="AU43" s="45" t="s">
        <v>144</v>
      </c>
      <c r="AV43" s="46"/>
      <c r="AW43" s="47"/>
    </row>
    <row r="44" spans="1:49" ht="15.75" thickBot="1" x14ac:dyDescent="0.3">
      <c r="A44" s="10"/>
      <c r="Y44" s="10" t="s">
        <v>107</v>
      </c>
      <c r="Z44">
        <f>SUM(Z41:Z43)</f>
        <v>60</v>
      </c>
      <c r="AA44" s="12"/>
      <c r="AB44" s="53"/>
      <c r="AC44" s="53"/>
      <c r="AU44" s="54" t="str">
        <f>'GRAFICAS OCULTAR'!AM2</f>
        <v>NORMAL</v>
      </c>
      <c r="AV44" s="55">
        <f>'GRAFICAS OCULTAR'!AN2</f>
        <v>58</v>
      </c>
      <c r="AW44" s="56"/>
    </row>
    <row r="45" spans="1:49" ht="15.75" thickBot="1" x14ac:dyDescent="0.3">
      <c r="A45" s="10"/>
      <c r="Y45" s="13"/>
      <c r="Z45" s="14"/>
      <c r="AA45" s="15"/>
      <c r="AB45" s="53"/>
      <c r="AC45" s="53"/>
      <c r="AU45" s="54" t="str">
        <f>'GRAFICAS OCULTAR'!AM3</f>
        <v>ALTO</v>
      </c>
      <c r="AV45" s="55">
        <f>'GRAFICAS OCULTAR'!AN3</f>
        <v>8</v>
      </c>
      <c r="AW45" s="12"/>
    </row>
    <row r="46" spans="1:49" ht="15.75" thickBot="1" x14ac:dyDescent="0.3">
      <c r="A46" s="10"/>
      <c r="Y46" s="53"/>
      <c r="Z46" s="53"/>
      <c r="AA46" s="53"/>
      <c r="AB46" s="53"/>
      <c r="AC46" s="53"/>
      <c r="AK46" s="22" t="s">
        <v>145</v>
      </c>
      <c r="AL46" s="22"/>
      <c r="AM46" s="22"/>
      <c r="AU46" s="54" t="str">
        <f>'GRAFICAS OCULTAR'!AM4</f>
        <v>BAJO</v>
      </c>
      <c r="AV46" s="55">
        <f>'GRAFICAS OCULTAR'!AN4</f>
        <v>2</v>
      </c>
    </row>
    <row r="47" spans="1:49" ht="15.75" thickBot="1" x14ac:dyDescent="0.3">
      <c r="A47" s="10"/>
      <c r="Y47" s="53"/>
      <c r="Z47" s="53"/>
      <c r="AA47" s="53"/>
      <c r="AB47" s="53"/>
      <c r="AC47" s="53"/>
      <c r="AK47" s="10" t="str">
        <f>'GRAFICAS OCULTAR'!X3</f>
        <v>NORMAL</v>
      </c>
      <c r="AL47">
        <v>66</v>
      </c>
      <c r="AM47" s="12"/>
      <c r="AU47" s="54">
        <f>'GRAFICAS OCULTAR'!AM5</f>
        <v>0</v>
      </c>
      <c r="AV47" s="55">
        <f>'GRAFICAS OCULTAR'!AN5</f>
        <v>0</v>
      </c>
      <c r="AW47" s="15"/>
    </row>
    <row r="48" spans="1:49" x14ac:dyDescent="0.25">
      <c r="A48" s="10"/>
      <c r="Y48" s="53"/>
      <c r="Z48" s="53"/>
      <c r="AA48" s="53"/>
      <c r="AB48" s="53"/>
      <c r="AC48" s="53"/>
      <c r="AK48" s="10" t="str">
        <f>'GRAFICAS OCULTAR'!X4</f>
        <v>ALTO</v>
      </c>
      <c r="AL48">
        <v>2</v>
      </c>
      <c r="AM48" s="12"/>
    </row>
    <row r="49" spans="1:39" x14ac:dyDescent="0.25">
      <c r="A49" s="10"/>
      <c r="J49" s="8"/>
      <c r="AK49" s="10" t="str">
        <f>'GRAFICAS OCULTAR'!X5</f>
        <v>BAJO</v>
      </c>
      <c r="AM49" s="12"/>
    </row>
    <row r="50" spans="1:39" x14ac:dyDescent="0.25">
      <c r="A50" s="10"/>
      <c r="J50" s="8"/>
      <c r="AM50" s="12"/>
    </row>
    <row r="51" spans="1:39" x14ac:dyDescent="0.25">
      <c r="A51" s="10"/>
      <c r="J51" s="8"/>
    </row>
    <row r="52" spans="1:39" x14ac:dyDescent="0.25">
      <c r="A52" s="10"/>
      <c r="J52" s="8"/>
    </row>
    <row r="53" spans="1:39" x14ac:dyDescent="0.25">
      <c r="J53" s="8"/>
      <c r="AK53" s="22" t="s">
        <v>146</v>
      </c>
      <c r="AL53" s="22"/>
      <c r="AM53" s="22"/>
    </row>
    <row r="54" spans="1:39" x14ac:dyDescent="0.25">
      <c r="A54" s="57" t="s">
        <v>147</v>
      </c>
      <c r="B54">
        <v>30</v>
      </c>
      <c r="AK54" s="10" t="str">
        <f>'GRAFICAS OCULTAR'!AA3</f>
        <v>BAJO</v>
      </c>
      <c r="AL54">
        <f>'GRAFICAS OCULTAR'!AB3</f>
        <v>1</v>
      </c>
      <c r="AM54" s="12"/>
    </row>
    <row r="55" spans="1:39" x14ac:dyDescent="0.25">
      <c r="A55" s="58" t="s">
        <v>148</v>
      </c>
      <c r="B55">
        <v>23</v>
      </c>
      <c r="AK55" s="10" t="str">
        <f>'GRAFICAS OCULTAR'!AA4</f>
        <v>NORMAL</v>
      </c>
      <c r="AL55">
        <f>'GRAFICAS OCULTAR'!AB4</f>
        <v>67</v>
      </c>
      <c r="AM55" s="12"/>
    </row>
    <row r="56" spans="1:39" x14ac:dyDescent="0.25">
      <c r="A56" s="59" t="s">
        <v>149</v>
      </c>
      <c r="B56">
        <v>12</v>
      </c>
      <c r="K56" s="8"/>
      <c r="AK56" s="10" t="str">
        <f>'GRAFICAS OCULTAR'!AA5</f>
        <v>ALTO</v>
      </c>
      <c r="AL56">
        <f>'GRAFICAS OCULTAR'!AB5</f>
        <v>0</v>
      </c>
    </row>
    <row r="57" spans="1:39" x14ac:dyDescent="0.25">
      <c r="A57" s="59" t="s">
        <v>150</v>
      </c>
      <c r="B57">
        <v>2</v>
      </c>
      <c r="K57" s="8"/>
      <c r="AM57" s="12"/>
    </row>
    <row r="58" spans="1:39" hidden="1" x14ac:dyDescent="0.25">
      <c r="A58" s="59" t="s">
        <v>151</v>
      </c>
      <c r="K58" s="8"/>
    </row>
    <row r="59" spans="1:39" x14ac:dyDescent="0.25">
      <c r="A59" s="60" t="s">
        <v>152</v>
      </c>
      <c r="B59">
        <v>1</v>
      </c>
      <c r="K59" s="8"/>
    </row>
    <row r="60" spans="1:39" x14ac:dyDescent="0.25">
      <c r="L60" s="8" t="s">
        <v>22</v>
      </c>
      <c r="M60">
        <v>39</v>
      </c>
    </row>
    <row r="61" spans="1:39" x14ac:dyDescent="0.25">
      <c r="L61" s="8" t="s">
        <v>123</v>
      </c>
      <c r="M61">
        <v>15</v>
      </c>
    </row>
    <row r="62" spans="1:39" x14ac:dyDescent="0.25">
      <c r="L62" s="8" t="s">
        <v>24</v>
      </c>
      <c r="M62">
        <v>3</v>
      </c>
    </row>
    <row r="63" spans="1:39" x14ac:dyDescent="0.25">
      <c r="L63" s="8" t="s">
        <v>23</v>
      </c>
      <c r="M63">
        <v>3</v>
      </c>
    </row>
    <row r="67" spans="1:26" x14ac:dyDescent="0.25">
      <c r="A67" s="8"/>
    </row>
    <row r="68" spans="1:26" x14ac:dyDescent="0.25">
      <c r="A68" s="8"/>
    </row>
    <row r="69" spans="1:26" x14ac:dyDescent="0.25">
      <c r="A69" s="8"/>
    </row>
    <row r="70" spans="1:26" x14ac:dyDescent="0.25">
      <c r="A70" s="8"/>
      <c r="L70" s="8" t="s">
        <v>22</v>
      </c>
      <c r="M70">
        <v>60</v>
      </c>
    </row>
    <row r="71" spans="1:26" x14ac:dyDescent="0.25">
      <c r="A71" s="8"/>
    </row>
    <row r="72" spans="1:26" x14ac:dyDescent="0.25">
      <c r="Y72" s="10" t="s">
        <v>159</v>
      </c>
      <c r="Z72">
        <v>40</v>
      </c>
    </row>
    <row r="73" spans="1:26" x14ac:dyDescent="0.25">
      <c r="Y73" s="10" t="s">
        <v>160</v>
      </c>
      <c r="Z73">
        <v>18</v>
      </c>
    </row>
    <row r="74" spans="1:26" x14ac:dyDescent="0.25">
      <c r="Y74" s="10" t="s">
        <v>105</v>
      </c>
      <c r="Z74">
        <v>10</v>
      </c>
    </row>
    <row r="75" spans="1:26" x14ac:dyDescent="0.25">
      <c r="Y75" s="10" t="s">
        <v>107</v>
      </c>
      <c r="Z75">
        <f>SUM(Z72:Z74)</f>
        <v>68</v>
      </c>
    </row>
    <row r="78" spans="1:26" x14ac:dyDescent="0.25">
      <c r="L78" s="8" t="s">
        <v>471</v>
      </c>
      <c r="M78">
        <v>1</v>
      </c>
    </row>
    <row r="79" spans="1:26" x14ac:dyDescent="0.25">
      <c r="L79" s="8" t="s">
        <v>28</v>
      </c>
      <c r="M79">
        <v>1</v>
      </c>
    </row>
    <row r="80" spans="1:26" x14ac:dyDescent="0.25">
      <c r="L80" s="8" t="s">
        <v>22</v>
      </c>
      <c r="M80">
        <v>58</v>
      </c>
    </row>
  </sheetData>
  <mergeCells count="12">
    <mergeCell ref="Y39:AA39"/>
    <mergeCell ref="AK39:AL39"/>
    <mergeCell ref="A2:D2"/>
    <mergeCell ref="Y2:AB2"/>
    <mergeCell ref="A13:B13"/>
    <mergeCell ref="Y16:AB16"/>
    <mergeCell ref="Y27:AB27"/>
    <mergeCell ref="A33:B33"/>
    <mergeCell ref="L33:M33"/>
    <mergeCell ref="A34:B34"/>
    <mergeCell ref="A38:B38"/>
    <mergeCell ref="A39:B3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3671-77BC-4E77-A691-297E537B52E4}">
  <dimension ref="A1:AX105"/>
  <sheetViews>
    <sheetView topLeftCell="J31" zoomScale="79" zoomScaleNormal="79" workbookViewId="0">
      <selection activeCell="L64" sqref="L64:M69"/>
    </sheetView>
  </sheetViews>
  <sheetFormatPr baseColWidth="10" defaultRowHeight="15" x14ac:dyDescent="0.25"/>
  <cols>
    <col min="1" max="1" width="18.5703125" bestFit="1" customWidth="1"/>
    <col min="2" max="2" width="16.5703125" bestFit="1" customWidth="1"/>
    <col min="3" max="3" width="18.5703125" bestFit="1" customWidth="1"/>
    <col min="4" max="4" width="24.140625" bestFit="1" customWidth="1"/>
    <col min="5" max="5" width="22.7109375" bestFit="1" customWidth="1"/>
    <col min="6" max="6" width="24.5703125" bestFit="1" customWidth="1"/>
    <col min="7" max="7" width="18.5703125" bestFit="1" customWidth="1"/>
    <col min="8" max="8" width="32.5703125" bestFit="1" customWidth="1"/>
    <col min="9" max="9" width="27.140625" bestFit="1" customWidth="1"/>
    <col min="10" max="10" width="40.140625" customWidth="1"/>
    <col min="11" max="11" width="18.5703125" bestFit="1" customWidth="1"/>
    <col min="12" max="12" width="23.28515625" bestFit="1" customWidth="1"/>
    <col min="13" max="13" width="18.42578125" customWidth="1"/>
    <col min="15" max="15" width="18.5703125" bestFit="1" customWidth="1"/>
    <col min="16" max="16" width="34.140625" bestFit="1" customWidth="1"/>
    <col min="18" max="18" width="18.5703125" bestFit="1" customWidth="1"/>
    <col min="19" max="19" width="33" bestFit="1" customWidth="1"/>
    <col min="21" max="21" width="18.5703125" bestFit="1" customWidth="1"/>
    <col min="22" max="22" width="37.5703125" bestFit="1" customWidth="1"/>
    <col min="24" max="24" width="18.5703125" bestFit="1" customWidth="1"/>
    <col min="25" max="25" width="17.28515625" bestFit="1" customWidth="1"/>
    <col min="27" max="27" width="18.5703125" bestFit="1" customWidth="1"/>
    <col min="28" max="28" width="17.140625" bestFit="1" customWidth="1"/>
    <col min="30" max="30" width="18.5703125" bestFit="1" customWidth="1"/>
    <col min="31" max="31" width="15.5703125" bestFit="1" customWidth="1"/>
    <col min="33" max="33" width="18.5703125" bestFit="1" customWidth="1"/>
    <col min="34" max="34" width="14" bestFit="1" customWidth="1"/>
    <col min="36" max="36" width="18.5703125" bestFit="1" customWidth="1"/>
    <col min="37" max="37" width="15" bestFit="1" customWidth="1"/>
    <col min="39" max="39" width="18.5703125" bestFit="1" customWidth="1"/>
    <col min="40" max="40" width="13.28515625" bestFit="1" customWidth="1"/>
    <col min="42" max="42" width="50.5703125" bestFit="1" customWidth="1"/>
    <col min="43" max="43" width="24.85546875" bestFit="1" customWidth="1"/>
    <col min="45" max="45" width="18.5703125" bestFit="1" customWidth="1"/>
    <col min="46" max="46" width="19" bestFit="1" customWidth="1"/>
    <col min="48" max="49" width="18.5703125" bestFit="1" customWidth="1"/>
  </cols>
  <sheetData>
    <row r="1" spans="1:50" x14ac:dyDescent="0.25">
      <c r="A1" s="9" t="s">
        <v>71</v>
      </c>
      <c r="B1" t="s">
        <v>126</v>
      </c>
      <c r="C1" s="9" t="s">
        <v>71</v>
      </c>
      <c r="D1" t="s">
        <v>84</v>
      </c>
      <c r="F1" s="11" t="s">
        <v>85</v>
      </c>
      <c r="I1" s="26" t="s">
        <v>74</v>
      </c>
      <c r="J1" s="24">
        <v>1</v>
      </c>
      <c r="O1" s="11" t="s">
        <v>89</v>
      </c>
      <c r="R1" s="11" t="s">
        <v>94</v>
      </c>
      <c r="U1" s="11" t="s">
        <v>98</v>
      </c>
      <c r="AJ1" s="11" t="s">
        <v>114</v>
      </c>
      <c r="AM1" s="11" t="s">
        <v>144</v>
      </c>
      <c r="AP1" s="11" t="s">
        <v>136</v>
      </c>
      <c r="AS1" s="11" t="s">
        <v>139</v>
      </c>
      <c r="AV1" s="11" t="s">
        <v>199</v>
      </c>
    </row>
    <row r="2" spans="1:50" x14ac:dyDescent="0.25">
      <c r="A2" s="8" t="s">
        <v>22</v>
      </c>
      <c r="B2">
        <v>30</v>
      </c>
      <c r="C2" s="8" t="s">
        <v>37</v>
      </c>
      <c r="D2">
        <v>51</v>
      </c>
      <c r="F2" s="10" t="s">
        <v>81</v>
      </c>
      <c r="G2">
        <f>SUMIFS(L5:L61,K5:K61,"&gt;=-9",K5:K61,"&lt;=10,99")</f>
        <v>12</v>
      </c>
      <c r="I2" s="26" t="s">
        <v>75</v>
      </c>
      <c r="J2" s="24">
        <v>12</v>
      </c>
      <c r="K2" s="9" t="s">
        <v>87</v>
      </c>
      <c r="L2" t="s">
        <v>101</v>
      </c>
      <c r="O2" s="10" t="s">
        <v>22</v>
      </c>
      <c r="P2">
        <f>SUMIFS(P8:P32,O8:O32,"&gt;=0",O8:O32,"&lt;=0")</f>
        <v>0</v>
      </c>
      <c r="R2" t="s">
        <v>21</v>
      </c>
      <c r="S2">
        <f>SUMIFS(S8:S48,R8:R48,"&gt;=0",R8:R48,"&lt;=20")</f>
        <v>0</v>
      </c>
      <c r="U2" t="s">
        <v>22</v>
      </c>
      <c r="V2">
        <f>SUMIFS(V8:V48,U8:U48,"&gt;=0",U8:U48,"&lt;=1,0")</f>
        <v>61</v>
      </c>
      <c r="X2" s="11" t="s">
        <v>145</v>
      </c>
      <c r="AA2" s="11" t="s">
        <v>146</v>
      </c>
      <c r="AD2" s="11" t="s">
        <v>103</v>
      </c>
      <c r="AG2" s="11" t="s">
        <v>108</v>
      </c>
      <c r="AJ2" s="10" t="s">
        <v>104</v>
      </c>
      <c r="AK2">
        <f>SUMIFS(AK8:AK617,AJ8:AJ617,"&gt;=0,1",AJ8:AJ617,"&lt;=39,9")</f>
        <v>0</v>
      </c>
      <c r="AM2" t="s">
        <v>22</v>
      </c>
      <c r="AN2">
        <f>SUMIFS(AN8:AN617,AM8:AM617,"&gt;=3,6",AM8:AM617,"&lt;=7,7")</f>
        <v>58</v>
      </c>
      <c r="AP2" t="s">
        <v>137</v>
      </c>
      <c r="AQ2">
        <v>17</v>
      </c>
      <c r="AS2" t="s">
        <v>203</v>
      </c>
      <c r="AT2">
        <v>67</v>
      </c>
      <c r="AV2" t="s">
        <v>200</v>
      </c>
      <c r="AW2">
        <f>SUMIFS(AW8:AW617,AV8:AV617,"&gt;=0.1",AV8:AV617,"&lt;=6")</f>
        <v>0</v>
      </c>
    </row>
    <row r="3" spans="1:50" x14ac:dyDescent="0.25">
      <c r="A3" s="8" t="s">
        <v>403</v>
      </c>
      <c r="B3">
        <v>23</v>
      </c>
      <c r="C3" s="8" t="s">
        <v>36</v>
      </c>
      <c r="D3">
        <v>17</v>
      </c>
      <c r="F3" s="10" t="s">
        <v>82</v>
      </c>
      <c r="G3">
        <f>SUMIFS(L5:L61,K5:K61,"&gt;=11",K5:K61,"&lt;=19,99")</f>
        <v>1</v>
      </c>
      <c r="I3" s="26" t="s">
        <v>153</v>
      </c>
      <c r="J3" s="24">
        <v>1</v>
      </c>
      <c r="O3" s="10" t="s">
        <v>90</v>
      </c>
      <c r="P3">
        <f>SUMIFS(P8:P32,O8:O32,"&gt;=1",O8:O32,"&lt;=5")</f>
        <v>61</v>
      </c>
      <c r="R3" t="s">
        <v>22</v>
      </c>
      <c r="S3">
        <f>SUMIFS(S8:S48,R8:R48,"&gt;=21",R8:R48,"&lt;=39")</f>
        <v>29</v>
      </c>
      <c r="U3" t="s">
        <v>77</v>
      </c>
      <c r="V3">
        <f>SUMIFS(V8:V48,U8:U48,"&gt;=1,1",U8:U48,"&lt;=5,0")</f>
        <v>7</v>
      </c>
      <c r="X3" t="s">
        <v>22</v>
      </c>
      <c r="Y3">
        <f>SUMIFS(Y8:Y80,X8:X80,"&gt;=3,5",X8:X80,"&lt;=10,3")</f>
        <v>66</v>
      </c>
      <c r="AA3" t="s">
        <v>165</v>
      </c>
      <c r="AB3">
        <f>SUMIFS(AB8:AB80,AA8:AA80,"&gt;=0,1",AA8:AA80,"&lt;=149,9")</f>
        <v>1</v>
      </c>
      <c r="AD3" s="10" t="s">
        <v>104</v>
      </c>
      <c r="AE3">
        <f>SUMIFS(AE8:AE617,AD8:AD617,"&gt;=1",AD8:AD617,"&lt;=60,9")</f>
        <v>0</v>
      </c>
      <c r="AG3" s="10" t="s">
        <v>105</v>
      </c>
      <c r="AH3">
        <f>SUMIFS(AH8:AH616,AG8:AG616,"&gt;=0,1",AG8:AG616,"&lt;=200,9")</f>
        <v>56</v>
      </c>
      <c r="AJ3" s="10" t="s">
        <v>105</v>
      </c>
      <c r="AK3">
        <f>SUMIFS(AK8:AK617,AJ8:AJ617,"&gt;=40",AJ8:AJ617,"&lt;=160,9")</f>
        <v>38</v>
      </c>
      <c r="AM3" t="s">
        <v>166</v>
      </c>
      <c r="AN3">
        <f>SUMIFS(AN8:AN617,AM8:AM617,"&gt;=7,79",AM8:AM617,"&lt;=1000000000000")</f>
        <v>8</v>
      </c>
      <c r="AP3" t="s">
        <v>138</v>
      </c>
      <c r="AQ3">
        <v>51</v>
      </c>
      <c r="AS3" t="s">
        <v>204</v>
      </c>
      <c r="AT3">
        <v>1</v>
      </c>
      <c r="AV3" t="s">
        <v>201</v>
      </c>
      <c r="AW3">
        <f>SUMIFS(AW9:AW618,AV9:AV618,"&gt;=6.1",AV9:AV618,"&lt;=7")</f>
        <v>0</v>
      </c>
    </row>
    <row r="4" spans="1:50" x14ac:dyDescent="0.25">
      <c r="A4" s="8" t="s">
        <v>404</v>
      </c>
      <c r="B4">
        <v>12</v>
      </c>
      <c r="C4" s="8" t="s">
        <v>73</v>
      </c>
      <c r="D4">
        <v>68</v>
      </c>
      <c r="F4" s="10" t="s">
        <v>83</v>
      </c>
      <c r="G4">
        <f>SUMIFS(L5:L61,K5:K61,"&gt;=20",K5:K61,"&lt;=100")</f>
        <v>1</v>
      </c>
      <c r="I4" s="61" t="s">
        <v>154</v>
      </c>
      <c r="K4" s="9" t="s">
        <v>71</v>
      </c>
      <c r="L4" t="s">
        <v>128</v>
      </c>
      <c r="O4" s="10" t="s">
        <v>91</v>
      </c>
      <c r="P4">
        <f>SUMIFS(P8:P32,O8:O32,"&gt;=6",O8:O32,"&lt;=9")</f>
        <v>7</v>
      </c>
      <c r="R4" t="s">
        <v>95</v>
      </c>
      <c r="S4">
        <f>SUMIFS(S8:S49,R8:R49,"&gt;=40",R8:R49,"&lt;=49")</f>
        <v>36</v>
      </c>
      <c r="U4" t="s">
        <v>99</v>
      </c>
      <c r="V4">
        <f>SUMIFS(V8:V48,U8:U48,"&gt;=5,1",U8:U48,"&lt;=100")</f>
        <v>0</v>
      </c>
      <c r="X4" t="s">
        <v>166</v>
      </c>
      <c r="Y4">
        <f>SUMIFS(Y8:Y80,X8:X80,"&gt;=10,4",X8:X80,"&lt;=100000")</f>
        <v>2</v>
      </c>
      <c r="AA4" t="s">
        <v>22</v>
      </c>
      <c r="AB4">
        <f>SUMIFS(AB8:AB231,AA8:AA231,"&gt;=150",AA8:AA231,"&lt;=450")</f>
        <v>67</v>
      </c>
      <c r="AD4" s="10" t="s">
        <v>105</v>
      </c>
      <c r="AE4">
        <f>SUMIFS(AE8:AE617,AD8:AD617,"&gt;=60",AD8:AD617,"&lt;=110,9")</f>
        <v>66</v>
      </c>
      <c r="AG4" s="10" t="s">
        <v>109</v>
      </c>
      <c r="AH4">
        <f>SUMIFS(AH8:AH617,AG8:AG617,"&gt;=201",AG8:AG617,"&lt;=240,9")</f>
        <v>10</v>
      </c>
      <c r="AJ4" s="10" t="s">
        <v>116</v>
      </c>
      <c r="AK4">
        <f>SUMIFS(AK8:AK617,AJ8:AJ617,"&gt;=161",AJ8:AJ617,"&lt;=199,9")</f>
        <v>8</v>
      </c>
      <c r="AM4" t="s">
        <v>165</v>
      </c>
      <c r="AN4">
        <f>SUMIFS(AN8:AN617,AM8:AM617,"&gt;=0,1",AM8:AM617,"&lt;=3,59")</f>
        <v>2</v>
      </c>
      <c r="AS4" t="s">
        <v>205</v>
      </c>
      <c r="AV4" t="s">
        <v>202</v>
      </c>
      <c r="AW4">
        <f>SUMIFS(AW8:AW617,AV8:AV617,"&gt;=7.1",AV8:AV617,"&lt;=1000")</f>
        <v>0</v>
      </c>
    </row>
    <row r="5" spans="1:50" x14ac:dyDescent="0.25">
      <c r="A5" s="8" t="s">
        <v>406</v>
      </c>
      <c r="B5">
        <v>1</v>
      </c>
      <c r="E5" s="9" t="s">
        <v>87</v>
      </c>
      <c r="F5" t="s">
        <v>163</v>
      </c>
      <c r="K5" s="8">
        <v>6.63</v>
      </c>
      <c r="L5">
        <v>1</v>
      </c>
      <c r="O5" t="s">
        <v>92</v>
      </c>
      <c r="P5">
        <f>SUMIFS(P8:P32,O8:O32,"&gt;=10",O8:O32,"&lt;100")</f>
        <v>0</v>
      </c>
      <c r="R5" t="s">
        <v>96</v>
      </c>
      <c r="S5">
        <f>SUMIFS(S8:S50,R8:R50,"&gt;=50",R8:R50,"&lt;=100")</f>
        <v>3</v>
      </c>
      <c r="X5" t="s">
        <v>165</v>
      </c>
      <c r="Y5">
        <f>SUMIFS(Y8:Y80,X8:X80,"&gt;=0,1",X8:X80,"&lt;=3,4")</f>
        <v>0</v>
      </c>
      <c r="AA5" t="s">
        <v>166</v>
      </c>
      <c r="AB5">
        <f>SUMIFS(AB8:AB80,AA8:AA80,"&gt;=451",AA8:AA80,"&lt;=100000000000000")</f>
        <v>0</v>
      </c>
      <c r="AD5" s="10" t="s">
        <v>106</v>
      </c>
      <c r="AE5">
        <f>SUMIFS(AE8:AE617,AD8:AD617,"&gt;=111",AD8:AD617,"&lt;=125,9")</f>
        <v>1</v>
      </c>
      <c r="AG5" t="s">
        <v>110</v>
      </c>
      <c r="AH5">
        <f>SUMIFS(AH8:AH617,AG8:AG617,"&gt;=241",AG8:AG617,"&lt;=1000000")</f>
        <v>2</v>
      </c>
      <c r="AJ5" s="10" t="s">
        <v>110</v>
      </c>
      <c r="AK5">
        <f>SUMIFS(AK8:AK617,AJ8:AJ617,"&gt;=200",AJ8:AJ617,"&lt;=499,9")</f>
        <v>20</v>
      </c>
    </row>
    <row r="6" spans="1:50" x14ac:dyDescent="0.25">
      <c r="A6" s="8" t="s">
        <v>405</v>
      </c>
      <c r="B6">
        <v>2</v>
      </c>
      <c r="G6" s="9" t="s">
        <v>87</v>
      </c>
      <c r="H6" t="s">
        <v>101</v>
      </c>
      <c r="K6" s="8">
        <v>10.38</v>
      </c>
      <c r="L6">
        <v>1</v>
      </c>
      <c r="AD6" s="10" t="s">
        <v>155</v>
      </c>
      <c r="AE6">
        <f>SUMIFS(AE8:AE617,AD8:AD617,"&gt;=126",AD8:AD617,"&lt;=1000000")</f>
        <v>1</v>
      </c>
      <c r="AJ6" s="10" t="s">
        <v>162</v>
      </c>
      <c r="AK6">
        <f>SUMIFS(AK8:AK617,AJ8:AJ617,"&gt;=500",AJ8:AJ617,"&lt;=100000000000000")</f>
        <v>2</v>
      </c>
    </row>
    <row r="7" spans="1:50" x14ac:dyDescent="0.25">
      <c r="A7" s="8" t="s">
        <v>73</v>
      </c>
      <c r="B7">
        <v>68</v>
      </c>
      <c r="E7" s="9" t="s">
        <v>71</v>
      </c>
      <c r="F7" t="s">
        <v>127</v>
      </c>
      <c r="K7" s="8">
        <v>13.5</v>
      </c>
      <c r="L7">
        <v>1</v>
      </c>
      <c r="O7" s="9" t="s">
        <v>71</v>
      </c>
      <c r="P7" t="s">
        <v>88</v>
      </c>
      <c r="R7" s="9" t="s">
        <v>71</v>
      </c>
      <c r="S7" t="s">
        <v>93</v>
      </c>
      <c r="U7" s="9" t="s">
        <v>71</v>
      </c>
      <c r="V7" t="s">
        <v>97</v>
      </c>
      <c r="X7" s="9" t="s">
        <v>71</v>
      </c>
      <c r="Y7" t="s">
        <v>191</v>
      </c>
      <c r="AA7" s="9" t="s">
        <v>71</v>
      </c>
      <c r="AB7" t="s">
        <v>192</v>
      </c>
      <c r="AD7" s="9" t="s">
        <v>71</v>
      </c>
      <c r="AE7" t="s">
        <v>193</v>
      </c>
      <c r="AG7" s="9" t="s">
        <v>71</v>
      </c>
      <c r="AH7" t="s">
        <v>194</v>
      </c>
      <c r="AJ7" s="9" t="s">
        <v>71</v>
      </c>
      <c r="AK7" t="s">
        <v>195</v>
      </c>
      <c r="AM7" s="9" t="s">
        <v>71</v>
      </c>
      <c r="AN7" t="s">
        <v>196</v>
      </c>
      <c r="AP7" s="9" t="s">
        <v>71</v>
      </c>
      <c r="AQ7" t="s">
        <v>197</v>
      </c>
      <c r="AS7" s="9" t="s">
        <v>71</v>
      </c>
      <c r="AT7" t="s">
        <v>198</v>
      </c>
      <c r="AV7" s="89"/>
      <c r="AW7" s="90"/>
      <c r="AX7" s="91"/>
    </row>
    <row r="8" spans="1:50" x14ac:dyDescent="0.25">
      <c r="E8" s="8" t="s">
        <v>398</v>
      </c>
      <c r="F8">
        <v>1</v>
      </c>
      <c r="G8" s="9" t="s">
        <v>71</v>
      </c>
      <c r="H8" t="s">
        <v>100</v>
      </c>
      <c r="K8" s="8">
        <v>8</v>
      </c>
      <c r="L8">
        <v>2</v>
      </c>
      <c r="O8" s="8">
        <v>2</v>
      </c>
      <c r="P8">
        <v>6</v>
      </c>
      <c r="R8" s="8">
        <v>28</v>
      </c>
      <c r="S8">
        <v>1</v>
      </c>
      <c r="U8" s="8">
        <v>1</v>
      </c>
      <c r="V8">
        <v>4</v>
      </c>
      <c r="X8" s="8">
        <v>5.6</v>
      </c>
      <c r="Y8">
        <v>2</v>
      </c>
      <c r="AA8" s="8">
        <v>331</v>
      </c>
      <c r="AB8">
        <v>2</v>
      </c>
      <c r="AD8" s="8" t="s">
        <v>72</v>
      </c>
      <c r="AG8" s="8" t="s">
        <v>72</v>
      </c>
      <c r="AJ8" s="8" t="s">
        <v>72</v>
      </c>
      <c r="AM8" s="8" t="s">
        <v>72</v>
      </c>
      <c r="AP8" s="8" t="s">
        <v>72</v>
      </c>
      <c r="AS8" s="8" t="s">
        <v>72</v>
      </c>
      <c r="AV8" s="92"/>
      <c r="AW8" s="93"/>
      <c r="AX8" s="94"/>
    </row>
    <row r="9" spans="1:50" x14ac:dyDescent="0.25">
      <c r="E9" s="8" t="s">
        <v>287</v>
      </c>
      <c r="F9">
        <v>3</v>
      </c>
      <c r="G9" s="8" t="s">
        <v>381</v>
      </c>
      <c r="H9">
        <v>1</v>
      </c>
      <c r="K9" s="8">
        <v>9.1300000000000008</v>
      </c>
      <c r="L9">
        <v>1</v>
      </c>
      <c r="O9" s="8">
        <v>3</v>
      </c>
      <c r="P9">
        <v>23</v>
      </c>
      <c r="R9" s="8">
        <v>30</v>
      </c>
      <c r="S9">
        <v>7</v>
      </c>
      <c r="U9" s="8">
        <v>1.4</v>
      </c>
      <c r="V9">
        <v>3</v>
      </c>
      <c r="X9" s="8" t="s">
        <v>72</v>
      </c>
      <c r="AA9" s="8" t="s">
        <v>72</v>
      </c>
      <c r="AD9" s="8">
        <v>74.3</v>
      </c>
      <c r="AE9">
        <v>1</v>
      </c>
      <c r="AG9" s="8">
        <v>208.8</v>
      </c>
      <c r="AH9">
        <v>2</v>
      </c>
      <c r="AJ9" s="8">
        <v>80.3</v>
      </c>
      <c r="AK9">
        <v>1</v>
      </c>
      <c r="AM9" s="8">
        <v>9.8000000000000007</v>
      </c>
      <c r="AN9">
        <v>1</v>
      </c>
      <c r="AP9" s="8" t="s">
        <v>415</v>
      </c>
      <c r="AQ9">
        <v>31</v>
      </c>
      <c r="AS9" s="8" t="s">
        <v>414</v>
      </c>
      <c r="AT9">
        <v>6</v>
      </c>
      <c r="AV9" s="92"/>
      <c r="AW9" s="93"/>
      <c r="AX9" s="94"/>
    </row>
    <row r="10" spans="1:50" x14ac:dyDescent="0.25">
      <c r="E10" s="8" t="s">
        <v>120</v>
      </c>
      <c r="F10">
        <v>6</v>
      </c>
      <c r="G10" s="8" t="s">
        <v>399</v>
      </c>
      <c r="H10">
        <v>1</v>
      </c>
      <c r="K10" s="8">
        <v>4.63</v>
      </c>
      <c r="L10">
        <v>1</v>
      </c>
      <c r="O10" s="8">
        <v>4</v>
      </c>
      <c r="P10">
        <v>19</v>
      </c>
      <c r="R10" s="8">
        <v>32</v>
      </c>
      <c r="S10">
        <v>3</v>
      </c>
      <c r="U10" s="8">
        <v>1.8</v>
      </c>
      <c r="V10">
        <v>2</v>
      </c>
      <c r="X10" s="8">
        <v>7.6</v>
      </c>
      <c r="Y10">
        <v>1</v>
      </c>
      <c r="AA10" s="8">
        <v>217</v>
      </c>
      <c r="AB10">
        <v>1</v>
      </c>
      <c r="AD10" s="8">
        <v>82.6</v>
      </c>
      <c r="AE10">
        <v>2</v>
      </c>
      <c r="AG10" s="8">
        <v>212.6</v>
      </c>
      <c r="AH10">
        <v>1</v>
      </c>
      <c r="AJ10" s="8">
        <v>166.2</v>
      </c>
      <c r="AK10">
        <v>1</v>
      </c>
      <c r="AM10" s="8">
        <v>7.7</v>
      </c>
      <c r="AN10">
        <v>4</v>
      </c>
      <c r="AP10" s="8" t="s">
        <v>425</v>
      </c>
      <c r="AQ10">
        <v>7</v>
      </c>
      <c r="AS10" s="8" t="s">
        <v>420</v>
      </c>
      <c r="AT10">
        <v>61</v>
      </c>
      <c r="AV10" s="92"/>
      <c r="AW10" s="93"/>
      <c r="AX10" s="94"/>
    </row>
    <row r="11" spans="1:50" x14ac:dyDescent="0.25">
      <c r="E11" s="8" t="s">
        <v>397</v>
      </c>
      <c r="F11">
        <v>1</v>
      </c>
      <c r="G11" s="8" t="s">
        <v>377</v>
      </c>
      <c r="H11">
        <v>3</v>
      </c>
      <c r="K11" s="8">
        <v>22</v>
      </c>
      <c r="L11">
        <v>1</v>
      </c>
      <c r="O11" s="8">
        <v>5</v>
      </c>
      <c r="P11">
        <v>13</v>
      </c>
      <c r="R11" s="8">
        <v>34</v>
      </c>
      <c r="S11">
        <v>4</v>
      </c>
      <c r="U11" s="8">
        <v>2</v>
      </c>
      <c r="V11">
        <v>2</v>
      </c>
      <c r="X11" s="8">
        <v>7.7</v>
      </c>
      <c r="Y11">
        <v>5</v>
      </c>
      <c r="AA11" s="8">
        <v>312</v>
      </c>
      <c r="AB11">
        <v>1</v>
      </c>
      <c r="AD11" s="8">
        <v>78.599999999999994</v>
      </c>
      <c r="AE11">
        <v>3</v>
      </c>
      <c r="AG11" s="8">
        <v>164.3</v>
      </c>
      <c r="AH11">
        <v>1</v>
      </c>
      <c r="AJ11" s="8">
        <v>210</v>
      </c>
      <c r="AK11">
        <v>1</v>
      </c>
      <c r="AM11" s="8">
        <v>6.6</v>
      </c>
      <c r="AN11">
        <v>4</v>
      </c>
      <c r="AP11" s="8" t="s">
        <v>429</v>
      </c>
      <c r="AQ11">
        <v>2</v>
      </c>
      <c r="AS11" s="8" t="s">
        <v>204</v>
      </c>
      <c r="AT11">
        <v>1</v>
      </c>
      <c r="AV11" s="92"/>
      <c r="AW11" s="93"/>
      <c r="AX11" s="94"/>
    </row>
    <row r="12" spans="1:50" x14ac:dyDescent="0.25">
      <c r="E12" s="8" t="s">
        <v>72</v>
      </c>
      <c r="G12" s="8" t="s">
        <v>376</v>
      </c>
      <c r="H12">
        <v>2</v>
      </c>
      <c r="K12" s="8">
        <v>2.5</v>
      </c>
      <c r="L12">
        <v>1</v>
      </c>
      <c r="O12" s="8">
        <v>6</v>
      </c>
      <c r="P12">
        <v>5</v>
      </c>
      <c r="R12" s="8">
        <v>36</v>
      </c>
      <c r="S12">
        <v>10</v>
      </c>
      <c r="U12" s="8">
        <v>0</v>
      </c>
      <c r="V12">
        <v>57</v>
      </c>
      <c r="X12" s="8">
        <v>5.8</v>
      </c>
      <c r="Y12">
        <v>4</v>
      </c>
      <c r="AA12" s="8">
        <v>173</v>
      </c>
      <c r="AB12">
        <v>1</v>
      </c>
      <c r="AD12" s="8">
        <v>64.099999999999994</v>
      </c>
      <c r="AE12">
        <v>1</v>
      </c>
      <c r="AG12" s="8">
        <v>148</v>
      </c>
      <c r="AH12">
        <v>1</v>
      </c>
      <c r="AJ12" s="8">
        <v>112.4</v>
      </c>
      <c r="AK12">
        <v>1</v>
      </c>
      <c r="AM12" s="8">
        <v>7.1</v>
      </c>
      <c r="AN12">
        <v>3</v>
      </c>
      <c r="AP12" s="8" t="s">
        <v>440</v>
      </c>
      <c r="AQ12">
        <v>2</v>
      </c>
      <c r="AS12" s="8" t="s">
        <v>73</v>
      </c>
      <c r="AT12">
        <v>68</v>
      </c>
      <c r="AV12" s="92"/>
      <c r="AW12" s="93"/>
      <c r="AX12" s="94"/>
    </row>
    <row r="13" spans="1:50" x14ac:dyDescent="0.25">
      <c r="E13" s="8" t="s">
        <v>283</v>
      </c>
      <c r="F13">
        <v>22</v>
      </c>
      <c r="G13" s="8" t="s">
        <v>372</v>
      </c>
      <c r="H13">
        <v>1</v>
      </c>
      <c r="K13" s="8">
        <v>5.25</v>
      </c>
      <c r="L13">
        <v>1</v>
      </c>
      <c r="O13" s="8">
        <v>7</v>
      </c>
      <c r="P13">
        <v>1</v>
      </c>
      <c r="R13" s="8">
        <v>38</v>
      </c>
      <c r="S13">
        <v>3</v>
      </c>
      <c r="U13" s="8" t="s">
        <v>73</v>
      </c>
      <c r="V13">
        <v>68</v>
      </c>
      <c r="X13" s="8">
        <v>6.2</v>
      </c>
      <c r="Y13">
        <v>2</v>
      </c>
      <c r="AA13" s="8">
        <v>226</v>
      </c>
      <c r="AB13">
        <v>1</v>
      </c>
      <c r="AD13" s="8">
        <v>69.3</v>
      </c>
      <c r="AE13">
        <v>1</v>
      </c>
      <c r="AG13" s="8">
        <v>196.1</v>
      </c>
      <c r="AH13">
        <v>1</v>
      </c>
      <c r="AJ13" s="8">
        <v>225.2</v>
      </c>
      <c r="AK13">
        <v>1</v>
      </c>
      <c r="AM13" s="8">
        <v>7.5</v>
      </c>
      <c r="AN13">
        <v>2</v>
      </c>
      <c r="AP13" s="8" t="s">
        <v>444</v>
      </c>
      <c r="AQ13">
        <v>4</v>
      </c>
      <c r="AV13" s="92"/>
      <c r="AW13" s="93"/>
      <c r="AX13" s="94"/>
    </row>
    <row r="14" spans="1:50" x14ac:dyDescent="0.25">
      <c r="E14" s="8" t="s">
        <v>284</v>
      </c>
      <c r="F14">
        <v>19</v>
      </c>
      <c r="G14" s="8" t="s">
        <v>373</v>
      </c>
      <c r="H14">
        <v>2</v>
      </c>
      <c r="K14" s="8">
        <v>6.38</v>
      </c>
      <c r="L14">
        <v>1</v>
      </c>
      <c r="O14" s="8">
        <v>9</v>
      </c>
      <c r="P14">
        <v>1</v>
      </c>
      <c r="R14" s="8">
        <v>40</v>
      </c>
      <c r="S14">
        <v>14</v>
      </c>
      <c r="X14" s="8">
        <v>5.4</v>
      </c>
      <c r="Y14">
        <v>3</v>
      </c>
      <c r="AA14" s="8">
        <v>251</v>
      </c>
      <c r="AB14">
        <v>2</v>
      </c>
      <c r="AD14" s="8">
        <v>84.5</v>
      </c>
      <c r="AE14">
        <v>1</v>
      </c>
      <c r="AG14" s="8">
        <v>188.6</v>
      </c>
      <c r="AH14">
        <v>1</v>
      </c>
      <c r="AJ14" s="8">
        <v>128.30000000000001</v>
      </c>
      <c r="AK14">
        <v>1</v>
      </c>
      <c r="AM14" s="8">
        <v>7</v>
      </c>
      <c r="AN14">
        <v>2</v>
      </c>
      <c r="AP14" s="8" t="s">
        <v>447</v>
      </c>
      <c r="AQ14">
        <v>3</v>
      </c>
      <c r="AV14" s="92"/>
      <c r="AW14" s="93"/>
      <c r="AX14" s="94"/>
    </row>
    <row r="15" spans="1:50" x14ac:dyDescent="0.25">
      <c r="E15" s="8" t="s">
        <v>285</v>
      </c>
      <c r="F15">
        <v>5</v>
      </c>
      <c r="G15" s="8" t="s">
        <v>375</v>
      </c>
      <c r="H15">
        <v>1</v>
      </c>
      <c r="K15" s="8">
        <v>6.25</v>
      </c>
      <c r="L15">
        <v>1</v>
      </c>
      <c r="O15" s="8" t="s">
        <v>73</v>
      </c>
      <c r="P15">
        <v>68</v>
      </c>
      <c r="R15" s="8">
        <v>42</v>
      </c>
      <c r="S15">
        <v>3</v>
      </c>
      <c r="X15" s="8">
        <v>8.6</v>
      </c>
      <c r="Y15">
        <v>2</v>
      </c>
      <c r="AA15" s="8">
        <v>276</v>
      </c>
      <c r="AB15">
        <v>2</v>
      </c>
      <c r="AD15" s="8">
        <v>67.2</v>
      </c>
      <c r="AE15">
        <v>1</v>
      </c>
      <c r="AG15" s="8">
        <v>140.6</v>
      </c>
      <c r="AH15">
        <v>1</v>
      </c>
      <c r="AJ15" s="8">
        <v>75.7</v>
      </c>
      <c r="AK15">
        <v>1</v>
      </c>
      <c r="AM15" s="8">
        <v>5.8</v>
      </c>
      <c r="AN15">
        <v>3</v>
      </c>
      <c r="AP15" s="8" t="s">
        <v>449</v>
      </c>
      <c r="AQ15">
        <v>1</v>
      </c>
      <c r="AV15" s="92"/>
      <c r="AW15" s="93"/>
      <c r="AX15" s="94"/>
    </row>
    <row r="16" spans="1:50" x14ac:dyDescent="0.25">
      <c r="E16" s="8" t="s">
        <v>286</v>
      </c>
      <c r="F16">
        <v>9</v>
      </c>
      <c r="G16" s="8" t="s">
        <v>378</v>
      </c>
      <c r="H16">
        <v>1</v>
      </c>
      <c r="K16" s="8">
        <v>7.75</v>
      </c>
      <c r="L16">
        <v>1</v>
      </c>
      <c r="R16" s="8">
        <v>44</v>
      </c>
      <c r="S16">
        <v>8</v>
      </c>
      <c r="X16" s="8">
        <v>6.8</v>
      </c>
      <c r="Y16">
        <v>1</v>
      </c>
      <c r="AA16" s="8">
        <v>339</v>
      </c>
      <c r="AB16">
        <v>1</v>
      </c>
      <c r="AD16" s="8">
        <v>70.400000000000006</v>
      </c>
      <c r="AE16">
        <v>1</v>
      </c>
      <c r="AG16" s="8">
        <v>145.6</v>
      </c>
      <c r="AH16">
        <v>1</v>
      </c>
      <c r="AJ16" s="8">
        <v>151.19999999999999</v>
      </c>
      <c r="AK16">
        <v>1</v>
      </c>
      <c r="AM16" s="8">
        <v>6</v>
      </c>
      <c r="AN16">
        <v>3</v>
      </c>
      <c r="AP16" s="8" t="s">
        <v>462</v>
      </c>
      <c r="AQ16">
        <v>1</v>
      </c>
      <c r="AV16" s="92"/>
      <c r="AW16" s="93"/>
      <c r="AX16" s="94"/>
    </row>
    <row r="17" spans="1:50" x14ac:dyDescent="0.25">
      <c r="E17" s="8" t="s">
        <v>73</v>
      </c>
      <c r="F17">
        <v>66</v>
      </c>
      <c r="G17" s="8" t="s">
        <v>394</v>
      </c>
      <c r="H17">
        <v>1</v>
      </c>
      <c r="K17" s="8">
        <v>7.5</v>
      </c>
      <c r="L17">
        <v>1</v>
      </c>
      <c r="R17" s="8">
        <v>45</v>
      </c>
      <c r="S17">
        <v>6</v>
      </c>
      <c r="X17" s="8">
        <v>8</v>
      </c>
      <c r="Y17">
        <v>1</v>
      </c>
      <c r="AA17" s="8">
        <v>203</v>
      </c>
      <c r="AB17">
        <v>2</v>
      </c>
      <c r="AD17" s="8">
        <v>89</v>
      </c>
      <c r="AE17">
        <v>1</v>
      </c>
      <c r="AG17" s="8">
        <v>146.4</v>
      </c>
      <c r="AH17">
        <v>1</v>
      </c>
      <c r="AJ17" s="8">
        <v>177.2</v>
      </c>
      <c r="AK17">
        <v>1</v>
      </c>
      <c r="AM17" s="8">
        <v>6.2</v>
      </c>
      <c r="AN17">
        <v>1</v>
      </c>
      <c r="AP17" s="8" t="s">
        <v>73</v>
      </c>
      <c r="AQ17">
        <v>51</v>
      </c>
      <c r="AV17" s="92"/>
      <c r="AW17" s="93"/>
      <c r="AX17" s="94"/>
    </row>
    <row r="18" spans="1:50" x14ac:dyDescent="0.25">
      <c r="G18" s="8" t="s">
        <v>395</v>
      </c>
      <c r="H18">
        <v>1</v>
      </c>
      <c r="K18" s="8" t="s">
        <v>73</v>
      </c>
      <c r="L18">
        <v>14</v>
      </c>
      <c r="R18" s="8">
        <v>46</v>
      </c>
      <c r="S18">
        <v>1</v>
      </c>
      <c r="X18" s="8">
        <v>7.1</v>
      </c>
      <c r="Y18">
        <v>1</v>
      </c>
      <c r="AA18" s="8">
        <v>220</v>
      </c>
      <c r="AB18">
        <v>1</v>
      </c>
      <c r="AD18" s="8">
        <v>81.900000000000006</v>
      </c>
      <c r="AE18">
        <v>1</v>
      </c>
      <c r="AG18" s="8">
        <v>177.2</v>
      </c>
      <c r="AH18">
        <v>1</v>
      </c>
      <c r="AJ18" s="8">
        <v>217.6</v>
      </c>
      <c r="AK18">
        <v>1</v>
      </c>
      <c r="AM18" s="8">
        <v>5.6</v>
      </c>
      <c r="AN18">
        <v>3</v>
      </c>
      <c r="AV18" s="92"/>
      <c r="AW18" s="93"/>
      <c r="AX18" s="94"/>
    </row>
    <row r="19" spans="1:50" ht="25.5" customHeight="1" x14ac:dyDescent="0.25">
      <c r="G19" s="8" t="s">
        <v>73</v>
      </c>
      <c r="H19">
        <v>14</v>
      </c>
      <c r="R19" s="8">
        <v>48</v>
      </c>
      <c r="S19">
        <v>4</v>
      </c>
      <c r="X19" s="8">
        <v>7.4</v>
      </c>
      <c r="Y19">
        <v>1</v>
      </c>
      <c r="AA19" s="8">
        <v>271</v>
      </c>
      <c r="AB19">
        <v>1</v>
      </c>
      <c r="AD19" s="8">
        <v>74.8</v>
      </c>
      <c r="AE19">
        <v>1</v>
      </c>
      <c r="AG19" s="8">
        <v>116.1</v>
      </c>
      <c r="AH19">
        <v>1</v>
      </c>
      <c r="AJ19" s="8">
        <v>60.6</v>
      </c>
      <c r="AK19">
        <v>1</v>
      </c>
      <c r="AM19" s="8">
        <v>5.3</v>
      </c>
      <c r="AN19">
        <v>4</v>
      </c>
      <c r="AV19" s="92"/>
      <c r="AW19" s="93"/>
      <c r="AX19" s="94"/>
    </row>
    <row r="20" spans="1:50" x14ac:dyDescent="0.25">
      <c r="R20" s="8">
        <v>50</v>
      </c>
      <c r="S20">
        <v>1</v>
      </c>
      <c r="X20" s="8">
        <v>7.3</v>
      </c>
      <c r="Y20">
        <v>2</v>
      </c>
      <c r="AA20" s="8">
        <v>215</v>
      </c>
      <c r="AB20">
        <v>1</v>
      </c>
      <c r="AD20" s="8">
        <v>80</v>
      </c>
      <c r="AE20">
        <v>2</v>
      </c>
      <c r="AG20" s="8">
        <v>164.2</v>
      </c>
      <c r="AH20">
        <v>2</v>
      </c>
      <c r="AJ20" s="8">
        <v>65.3</v>
      </c>
      <c r="AK20">
        <v>1</v>
      </c>
      <c r="AM20" s="8">
        <v>6.4</v>
      </c>
      <c r="AN20">
        <v>3</v>
      </c>
      <c r="AV20" s="92"/>
      <c r="AW20" s="93"/>
      <c r="AX20" s="94"/>
    </row>
    <row r="21" spans="1:50" x14ac:dyDescent="0.25">
      <c r="R21" s="8">
        <v>58</v>
      </c>
      <c r="S21">
        <v>1</v>
      </c>
      <c r="X21" s="8">
        <v>6.6</v>
      </c>
      <c r="Y21">
        <v>2</v>
      </c>
      <c r="AA21" s="8">
        <v>192</v>
      </c>
      <c r="AB21">
        <v>1</v>
      </c>
      <c r="AD21" s="8">
        <v>83</v>
      </c>
      <c r="AE21">
        <v>1</v>
      </c>
      <c r="AG21" s="8">
        <v>153.9</v>
      </c>
      <c r="AH21">
        <v>1</v>
      </c>
      <c r="AJ21" s="8">
        <v>92.7</v>
      </c>
      <c r="AK21">
        <v>1</v>
      </c>
      <c r="AM21" s="8">
        <v>7.3</v>
      </c>
      <c r="AN21">
        <v>2</v>
      </c>
      <c r="AV21" s="92"/>
      <c r="AW21" s="93"/>
      <c r="AX21" s="94"/>
    </row>
    <row r="22" spans="1:50" x14ac:dyDescent="0.25">
      <c r="R22" s="8">
        <v>52</v>
      </c>
      <c r="S22">
        <v>1</v>
      </c>
      <c r="X22" s="8">
        <v>4.9000000000000004</v>
      </c>
      <c r="Y22">
        <v>1</v>
      </c>
      <c r="AA22" s="8">
        <v>193</v>
      </c>
      <c r="AB22">
        <v>1</v>
      </c>
      <c r="AD22" s="8">
        <v>84.3</v>
      </c>
      <c r="AE22">
        <v>2</v>
      </c>
      <c r="AG22" s="8">
        <v>200.9</v>
      </c>
      <c r="AH22">
        <v>1</v>
      </c>
      <c r="AJ22" s="8">
        <v>117</v>
      </c>
      <c r="AK22">
        <v>1</v>
      </c>
      <c r="AM22" s="8">
        <v>8.6</v>
      </c>
      <c r="AN22">
        <v>1</v>
      </c>
      <c r="AV22" s="92"/>
      <c r="AW22" s="93"/>
      <c r="AX22" s="94"/>
    </row>
    <row r="23" spans="1:50" x14ac:dyDescent="0.25">
      <c r="I23" s="8"/>
      <c r="R23" s="8">
        <v>26</v>
      </c>
      <c r="S23">
        <v>1</v>
      </c>
      <c r="X23" s="8">
        <v>6.9</v>
      </c>
      <c r="Y23">
        <v>2</v>
      </c>
      <c r="AA23" s="8">
        <v>366</v>
      </c>
      <c r="AB23">
        <v>1</v>
      </c>
      <c r="AD23" s="8">
        <v>85.2</v>
      </c>
      <c r="AE23">
        <v>2</v>
      </c>
      <c r="AG23" s="8">
        <v>164.1</v>
      </c>
      <c r="AH23">
        <v>1</v>
      </c>
      <c r="AJ23" s="8">
        <v>208.5</v>
      </c>
      <c r="AK23">
        <v>1</v>
      </c>
      <c r="AM23" s="8">
        <v>8</v>
      </c>
      <c r="AN23">
        <v>3</v>
      </c>
      <c r="AV23" s="92"/>
      <c r="AW23" s="93"/>
      <c r="AX23" s="94"/>
    </row>
    <row r="24" spans="1:50" x14ac:dyDescent="0.25">
      <c r="A24" s="9" t="s">
        <v>71</v>
      </c>
      <c r="B24" t="s">
        <v>156</v>
      </c>
      <c r="R24" s="8" t="s">
        <v>73</v>
      </c>
      <c r="S24">
        <v>68</v>
      </c>
      <c r="X24" s="8">
        <v>3.7</v>
      </c>
      <c r="Y24">
        <v>1</v>
      </c>
      <c r="AA24" s="8">
        <v>216</v>
      </c>
      <c r="AB24">
        <v>1</v>
      </c>
      <c r="AD24" s="8">
        <v>77.400000000000006</v>
      </c>
      <c r="AE24">
        <v>2</v>
      </c>
      <c r="AG24" s="8">
        <v>229.3</v>
      </c>
      <c r="AH24">
        <v>1</v>
      </c>
      <c r="AJ24" s="8">
        <v>202.5</v>
      </c>
      <c r="AK24">
        <v>1</v>
      </c>
      <c r="AM24" s="8">
        <v>4.3</v>
      </c>
      <c r="AN24">
        <v>2</v>
      </c>
      <c r="AV24" s="95"/>
      <c r="AW24" s="96"/>
      <c r="AX24" s="97"/>
    </row>
    <row r="25" spans="1:50" x14ac:dyDescent="0.25">
      <c r="A25" s="8" t="s">
        <v>22</v>
      </c>
      <c r="B25">
        <v>42</v>
      </c>
      <c r="G25" s="8"/>
      <c r="X25" s="8">
        <v>5.7</v>
      </c>
      <c r="Y25">
        <v>1</v>
      </c>
      <c r="AA25" s="8">
        <v>350</v>
      </c>
      <c r="AB25">
        <v>1</v>
      </c>
      <c r="AD25" s="8">
        <v>74.900000000000006</v>
      </c>
      <c r="AE25">
        <v>2</v>
      </c>
      <c r="AG25" s="8">
        <v>196.6</v>
      </c>
      <c r="AH25">
        <v>1</v>
      </c>
      <c r="AJ25" s="8">
        <v>253.1</v>
      </c>
      <c r="AK25">
        <v>1</v>
      </c>
      <c r="AM25" s="8">
        <v>6.8</v>
      </c>
      <c r="AN25">
        <v>2</v>
      </c>
    </row>
    <row r="26" spans="1:50" x14ac:dyDescent="0.25">
      <c r="A26" s="8" t="s">
        <v>135</v>
      </c>
      <c r="B26">
        <v>17</v>
      </c>
      <c r="X26" s="8">
        <v>4.5999999999999996</v>
      </c>
      <c r="Y26">
        <v>1</v>
      </c>
      <c r="AA26" s="8">
        <v>295</v>
      </c>
      <c r="AB26">
        <v>1</v>
      </c>
      <c r="AD26" s="8">
        <v>78.2</v>
      </c>
      <c r="AE26">
        <v>2</v>
      </c>
      <c r="AG26" s="8">
        <v>183.3</v>
      </c>
      <c r="AH26">
        <v>1</v>
      </c>
      <c r="AJ26" s="8">
        <v>129</v>
      </c>
      <c r="AK26">
        <v>1</v>
      </c>
      <c r="AM26" s="8">
        <v>4</v>
      </c>
      <c r="AN26">
        <v>1</v>
      </c>
    </row>
    <row r="27" spans="1:50" x14ac:dyDescent="0.25">
      <c r="A27" s="8" t="s">
        <v>34</v>
      </c>
      <c r="B27">
        <v>1</v>
      </c>
      <c r="G27" s="8"/>
      <c r="X27" s="8">
        <v>5.5</v>
      </c>
      <c r="Y27">
        <v>2</v>
      </c>
      <c r="AA27" s="8">
        <v>145</v>
      </c>
      <c r="AB27">
        <v>1</v>
      </c>
      <c r="AD27" s="8">
        <v>89.2</v>
      </c>
      <c r="AE27">
        <v>1</v>
      </c>
      <c r="AG27" s="8">
        <v>175.4</v>
      </c>
      <c r="AH27">
        <v>1</v>
      </c>
      <c r="AJ27" s="8">
        <v>79.7</v>
      </c>
      <c r="AK27">
        <v>1</v>
      </c>
      <c r="AM27" s="8">
        <v>6.9</v>
      </c>
      <c r="AN27">
        <v>2</v>
      </c>
    </row>
    <row r="28" spans="1:50" x14ac:dyDescent="0.25">
      <c r="A28" s="8" t="s">
        <v>73</v>
      </c>
      <c r="B28">
        <v>60</v>
      </c>
      <c r="G28" s="8"/>
      <c r="X28" s="8">
        <v>6.1</v>
      </c>
      <c r="Y28">
        <v>3</v>
      </c>
      <c r="AA28" s="8">
        <v>248</v>
      </c>
      <c r="AB28">
        <v>2</v>
      </c>
      <c r="AD28" s="8">
        <v>86.4</v>
      </c>
      <c r="AE28">
        <v>1</v>
      </c>
      <c r="AG28" s="8">
        <v>155</v>
      </c>
      <c r="AH28">
        <v>1</v>
      </c>
      <c r="AJ28" s="8">
        <v>81.599999999999994</v>
      </c>
      <c r="AK28">
        <v>1</v>
      </c>
      <c r="AM28" s="8">
        <v>4.5</v>
      </c>
      <c r="AN28">
        <v>2</v>
      </c>
    </row>
    <row r="29" spans="1:50" x14ac:dyDescent="0.25">
      <c r="G29" s="8"/>
      <c r="X29" s="8">
        <v>6.4</v>
      </c>
      <c r="Y29">
        <v>2</v>
      </c>
      <c r="AA29" s="8">
        <v>157</v>
      </c>
      <c r="AB29">
        <v>1</v>
      </c>
      <c r="AD29" s="8">
        <v>78.7</v>
      </c>
      <c r="AE29">
        <v>1</v>
      </c>
      <c r="AG29" s="8">
        <v>181</v>
      </c>
      <c r="AH29">
        <v>1</v>
      </c>
      <c r="AJ29" s="8">
        <v>161.19999999999999</v>
      </c>
      <c r="AK29">
        <v>2</v>
      </c>
      <c r="AM29" s="8">
        <v>6.1</v>
      </c>
      <c r="AN29">
        <v>2</v>
      </c>
    </row>
    <row r="30" spans="1:50" x14ac:dyDescent="0.25">
      <c r="G30" s="8"/>
      <c r="X30" s="8">
        <v>10.4</v>
      </c>
      <c r="Y30">
        <v>1</v>
      </c>
      <c r="AA30" s="8">
        <v>284</v>
      </c>
      <c r="AB30">
        <v>2</v>
      </c>
      <c r="AD30" s="8">
        <v>78.3</v>
      </c>
      <c r="AE30">
        <v>1</v>
      </c>
      <c r="AG30" s="8">
        <v>169.1</v>
      </c>
      <c r="AH30">
        <v>1</v>
      </c>
      <c r="AJ30" s="8">
        <v>82.1</v>
      </c>
      <c r="AK30">
        <v>1</v>
      </c>
      <c r="AM30" s="8">
        <v>4.8</v>
      </c>
      <c r="AN30">
        <v>2</v>
      </c>
    </row>
    <row r="31" spans="1:50" x14ac:dyDescent="0.25">
      <c r="G31" s="8"/>
      <c r="X31" s="8">
        <v>9.4</v>
      </c>
      <c r="Y31">
        <v>2</v>
      </c>
      <c r="AA31" s="8">
        <v>162</v>
      </c>
      <c r="AB31">
        <v>1</v>
      </c>
      <c r="AD31" s="8">
        <v>83.8</v>
      </c>
      <c r="AE31">
        <v>1</v>
      </c>
      <c r="AG31" s="8">
        <v>169.2</v>
      </c>
      <c r="AH31">
        <v>1</v>
      </c>
      <c r="AJ31" s="8">
        <v>97</v>
      </c>
      <c r="AK31">
        <v>1</v>
      </c>
      <c r="AM31" s="8">
        <v>3.9</v>
      </c>
      <c r="AN31">
        <v>1</v>
      </c>
    </row>
    <row r="32" spans="1:50" x14ac:dyDescent="0.25">
      <c r="G32" s="8"/>
      <c r="X32" s="8">
        <v>6.7</v>
      </c>
      <c r="Y32">
        <v>2</v>
      </c>
      <c r="AA32" s="8">
        <v>187</v>
      </c>
      <c r="AB32">
        <v>1</v>
      </c>
      <c r="AD32" s="8">
        <v>69.8</v>
      </c>
      <c r="AE32">
        <v>1</v>
      </c>
      <c r="AG32" s="8">
        <v>238.7</v>
      </c>
      <c r="AH32">
        <v>1</v>
      </c>
      <c r="AJ32" s="8">
        <v>134</v>
      </c>
      <c r="AK32">
        <v>1</v>
      </c>
      <c r="AM32" s="8">
        <v>6.3</v>
      </c>
      <c r="AN32">
        <v>2</v>
      </c>
    </row>
    <row r="33" spans="7:40" x14ac:dyDescent="0.25">
      <c r="G33" s="8"/>
      <c r="X33" s="8">
        <v>7</v>
      </c>
      <c r="Y33">
        <v>1</v>
      </c>
      <c r="AA33" s="8">
        <v>165</v>
      </c>
      <c r="AB33">
        <v>1</v>
      </c>
      <c r="AD33" s="8">
        <v>125.8</v>
      </c>
      <c r="AE33">
        <v>1</v>
      </c>
      <c r="AG33" s="8">
        <v>161.9</v>
      </c>
      <c r="AH33">
        <v>1</v>
      </c>
      <c r="AJ33" s="8">
        <v>56.1</v>
      </c>
      <c r="AK33">
        <v>1</v>
      </c>
      <c r="AM33" s="8">
        <v>8.4</v>
      </c>
      <c r="AN33">
        <v>1</v>
      </c>
    </row>
    <row r="34" spans="7:40" x14ac:dyDescent="0.25">
      <c r="G34" s="8"/>
      <c r="X34" s="8">
        <v>7.2</v>
      </c>
      <c r="Y34">
        <v>2</v>
      </c>
      <c r="AA34" s="8">
        <v>243</v>
      </c>
      <c r="AB34">
        <v>1</v>
      </c>
      <c r="AD34" s="8">
        <v>82.7</v>
      </c>
      <c r="AE34">
        <v>1</v>
      </c>
      <c r="AG34" s="8">
        <v>149</v>
      </c>
      <c r="AH34">
        <v>1</v>
      </c>
      <c r="AJ34" s="8">
        <v>543.6</v>
      </c>
      <c r="AK34">
        <v>1</v>
      </c>
      <c r="AM34" s="8">
        <v>5.7</v>
      </c>
      <c r="AN34">
        <v>2</v>
      </c>
    </row>
    <row r="35" spans="7:40" x14ac:dyDescent="0.25">
      <c r="X35" s="8">
        <v>6</v>
      </c>
      <c r="Y35">
        <v>2</v>
      </c>
      <c r="AA35" s="8">
        <v>222</v>
      </c>
      <c r="AB35">
        <v>1</v>
      </c>
      <c r="AD35" s="8">
        <v>74.599999999999994</v>
      </c>
      <c r="AE35">
        <v>1</v>
      </c>
      <c r="AG35" s="8">
        <v>146.30000000000001</v>
      </c>
      <c r="AH35">
        <v>1</v>
      </c>
      <c r="AJ35" s="8">
        <v>52.5</v>
      </c>
      <c r="AK35">
        <v>1</v>
      </c>
      <c r="AM35" s="8">
        <v>8.1999999999999993</v>
      </c>
      <c r="AN35">
        <v>1</v>
      </c>
    </row>
    <row r="36" spans="7:40" x14ac:dyDescent="0.25">
      <c r="X36" s="8">
        <v>7.8</v>
      </c>
      <c r="Y36">
        <v>2</v>
      </c>
      <c r="AA36" s="8">
        <v>329</v>
      </c>
      <c r="AB36">
        <v>1</v>
      </c>
      <c r="AD36" s="8">
        <v>75.900000000000006</v>
      </c>
      <c r="AE36">
        <v>1</v>
      </c>
      <c r="AG36" s="8">
        <v>144.9</v>
      </c>
      <c r="AH36">
        <v>1</v>
      </c>
      <c r="AJ36" s="8">
        <v>102.5</v>
      </c>
      <c r="AK36">
        <v>1</v>
      </c>
      <c r="AM36" s="8">
        <v>6.5</v>
      </c>
      <c r="AN36">
        <v>3</v>
      </c>
    </row>
    <row r="37" spans="7:40" x14ac:dyDescent="0.25">
      <c r="X37" s="8">
        <v>4.7</v>
      </c>
      <c r="Y37">
        <v>1</v>
      </c>
      <c r="AA37" s="8">
        <v>285</v>
      </c>
      <c r="AB37">
        <v>2</v>
      </c>
      <c r="AD37" s="8">
        <v>92.6</v>
      </c>
      <c r="AE37">
        <v>1</v>
      </c>
      <c r="AG37" s="8">
        <v>164.9</v>
      </c>
      <c r="AH37">
        <v>1</v>
      </c>
      <c r="AJ37" s="8">
        <v>66.599999999999994</v>
      </c>
      <c r="AK37">
        <v>1</v>
      </c>
      <c r="AM37" s="8">
        <v>5.9</v>
      </c>
      <c r="AN37">
        <v>1</v>
      </c>
    </row>
    <row r="38" spans="7:40" x14ac:dyDescent="0.25">
      <c r="X38" s="8">
        <v>6.5</v>
      </c>
      <c r="Y38">
        <v>1</v>
      </c>
      <c r="AA38" s="8">
        <v>369</v>
      </c>
      <c r="AB38">
        <v>1</v>
      </c>
      <c r="AD38" s="8">
        <v>85.1</v>
      </c>
      <c r="AE38">
        <v>2</v>
      </c>
      <c r="AG38" s="8">
        <v>165.1</v>
      </c>
      <c r="AH38">
        <v>1</v>
      </c>
      <c r="AJ38" s="8">
        <v>99.5</v>
      </c>
      <c r="AK38">
        <v>1</v>
      </c>
      <c r="AM38" s="8">
        <v>4.7</v>
      </c>
      <c r="AN38">
        <v>1</v>
      </c>
    </row>
    <row r="39" spans="7:40" x14ac:dyDescent="0.25">
      <c r="X39" s="8">
        <v>4.4000000000000004</v>
      </c>
      <c r="Y39">
        <v>1</v>
      </c>
      <c r="AA39" s="8">
        <v>342</v>
      </c>
      <c r="AB39">
        <v>1</v>
      </c>
      <c r="AD39" s="8">
        <v>83.3</v>
      </c>
      <c r="AE39">
        <v>2</v>
      </c>
      <c r="AG39" s="8">
        <v>191.1</v>
      </c>
      <c r="AH39">
        <v>1</v>
      </c>
      <c r="AJ39" s="8">
        <v>142.1</v>
      </c>
      <c r="AK39">
        <v>1</v>
      </c>
      <c r="AM39" s="8">
        <v>3</v>
      </c>
      <c r="AN39">
        <v>1</v>
      </c>
    </row>
    <row r="40" spans="7:40" x14ac:dyDescent="0.25">
      <c r="X40" s="8">
        <v>8.5</v>
      </c>
      <c r="Y40">
        <v>2</v>
      </c>
      <c r="AA40" s="8">
        <v>297</v>
      </c>
      <c r="AB40">
        <v>1</v>
      </c>
      <c r="AD40" s="8">
        <v>80.3</v>
      </c>
      <c r="AE40">
        <v>2</v>
      </c>
      <c r="AG40" s="8">
        <v>144.69999999999999</v>
      </c>
      <c r="AH40">
        <v>1</v>
      </c>
      <c r="AJ40" s="8">
        <v>129.19999999999999</v>
      </c>
      <c r="AK40">
        <v>1</v>
      </c>
      <c r="AM40" s="8">
        <v>5.5</v>
      </c>
      <c r="AN40">
        <v>1</v>
      </c>
    </row>
    <row r="41" spans="7:40" x14ac:dyDescent="0.25">
      <c r="X41" s="8">
        <v>5.2</v>
      </c>
      <c r="Y41">
        <v>1</v>
      </c>
      <c r="AA41" s="8">
        <v>386</v>
      </c>
      <c r="AB41">
        <v>1</v>
      </c>
      <c r="AD41" s="8">
        <v>78.400000000000006</v>
      </c>
      <c r="AE41">
        <v>1</v>
      </c>
      <c r="AG41" s="8">
        <v>160.30000000000001</v>
      </c>
      <c r="AH41">
        <v>1</v>
      </c>
      <c r="AJ41" s="8">
        <v>109.3</v>
      </c>
      <c r="AK41">
        <v>1</v>
      </c>
      <c r="AM41" s="8">
        <v>7.8</v>
      </c>
      <c r="AN41">
        <v>1</v>
      </c>
    </row>
    <row r="42" spans="7:40" x14ac:dyDescent="0.25">
      <c r="X42" s="8">
        <v>8.8000000000000007</v>
      </c>
      <c r="Y42">
        <v>1</v>
      </c>
      <c r="AA42" s="8">
        <v>278</v>
      </c>
      <c r="AB42">
        <v>1</v>
      </c>
      <c r="AD42" s="8">
        <v>92</v>
      </c>
      <c r="AE42">
        <v>1</v>
      </c>
      <c r="AG42" s="8">
        <v>157.5</v>
      </c>
      <c r="AH42">
        <v>1</v>
      </c>
      <c r="AJ42" s="8">
        <v>158.5</v>
      </c>
      <c r="AK42">
        <v>1</v>
      </c>
      <c r="AM42" s="8">
        <v>3.1</v>
      </c>
      <c r="AN42">
        <v>1</v>
      </c>
    </row>
    <row r="43" spans="7:40" x14ac:dyDescent="0.25">
      <c r="X43" s="8">
        <v>5.9</v>
      </c>
      <c r="Y43">
        <v>2</v>
      </c>
      <c r="AA43" s="8">
        <v>194</v>
      </c>
      <c r="AB43">
        <v>1</v>
      </c>
      <c r="AD43" s="8">
        <v>84.8</v>
      </c>
      <c r="AE43">
        <v>1</v>
      </c>
      <c r="AG43" s="8">
        <v>164.5</v>
      </c>
      <c r="AH43">
        <v>1</v>
      </c>
      <c r="AJ43" s="8">
        <v>249.8</v>
      </c>
      <c r="AK43">
        <v>1</v>
      </c>
      <c r="AM43" s="8" t="s">
        <v>73</v>
      </c>
      <c r="AN43">
        <v>68</v>
      </c>
    </row>
    <row r="44" spans="7:40" x14ac:dyDescent="0.25">
      <c r="X44" s="8">
        <v>6.3</v>
      </c>
      <c r="Y44">
        <v>1</v>
      </c>
      <c r="AA44" s="8">
        <v>252</v>
      </c>
      <c r="AB44">
        <v>2</v>
      </c>
      <c r="AD44" s="8">
        <v>87.6</v>
      </c>
      <c r="AE44">
        <v>1</v>
      </c>
      <c r="AG44" s="8">
        <v>198.3</v>
      </c>
      <c r="AH44">
        <v>1</v>
      </c>
      <c r="AJ44" s="8">
        <v>285.89999999999998</v>
      </c>
      <c r="AK44">
        <v>1</v>
      </c>
    </row>
    <row r="45" spans="7:40" x14ac:dyDescent="0.25">
      <c r="X45" s="8">
        <v>8.1999999999999993</v>
      </c>
      <c r="Y45">
        <v>1</v>
      </c>
      <c r="AA45" s="8">
        <v>238</v>
      </c>
      <c r="AB45">
        <v>1</v>
      </c>
      <c r="AD45" s="8">
        <v>92.1</v>
      </c>
      <c r="AE45">
        <v>1</v>
      </c>
      <c r="AG45" s="8">
        <v>143.69999999999999</v>
      </c>
      <c r="AH45">
        <v>2</v>
      </c>
      <c r="AJ45" s="8">
        <v>215.3</v>
      </c>
      <c r="AK45">
        <v>1</v>
      </c>
    </row>
    <row r="46" spans="7:40" x14ac:dyDescent="0.25">
      <c r="X46" s="8">
        <v>16</v>
      </c>
      <c r="Y46">
        <v>1</v>
      </c>
      <c r="AA46" s="8">
        <v>313</v>
      </c>
      <c r="AB46">
        <v>1</v>
      </c>
      <c r="AD46" s="8">
        <v>74.099999999999994</v>
      </c>
      <c r="AE46">
        <v>1</v>
      </c>
      <c r="AG46" s="8">
        <v>202.8</v>
      </c>
      <c r="AH46">
        <v>1</v>
      </c>
      <c r="AJ46" s="8">
        <v>91.7</v>
      </c>
      <c r="AK46">
        <v>1</v>
      </c>
    </row>
    <row r="47" spans="7:40" x14ac:dyDescent="0.25">
      <c r="X47" s="8">
        <v>5.0999999999999996</v>
      </c>
      <c r="Y47">
        <v>2</v>
      </c>
      <c r="AA47" s="8">
        <v>185</v>
      </c>
      <c r="AB47">
        <v>1</v>
      </c>
      <c r="AD47" s="8">
        <v>86.1</v>
      </c>
      <c r="AE47">
        <v>1</v>
      </c>
      <c r="AG47" s="8">
        <v>140.4</v>
      </c>
      <c r="AH47">
        <v>1</v>
      </c>
      <c r="AJ47" s="8">
        <v>278.2</v>
      </c>
      <c r="AK47">
        <v>1</v>
      </c>
    </row>
    <row r="48" spans="7:40" x14ac:dyDescent="0.25">
      <c r="X48" s="8">
        <v>7.9</v>
      </c>
      <c r="Y48">
        <v>1</v>
      </c>
      <c r="AA48" s="8">
        <v>314</v>
      </c>
      <c r="AB48">
        <v>1</v>
      </c>
      <c r="AD48" s="8">
        <v>85.6</v>
      </c>
      <c r="AE48">
        <v>1</v>
      </c>
      <c r="AG48" s="8">
        <v>184.8</v>
      </c>
      <c r="AH48">
        <v>1</v>
      </c>
      <c r="AJ48" s="8">
        <v>154.30000000000001</v>
      </c>
      <c r="AK48">
        <v>1</v>
      </c>
    </row>
    <row r="49" spans="1:37" x14ac:dyDescent="0.25">
      <c r="X49" s="8">
        <v>9.6</v>
      </c>
      <c r="Y49">
        <v>1</v>
      </c>
      <c r="AA49" s="8">
        <v>302</v>
      </c>
      <c r="AB49">
        <v>1</v>
      </c>
      <c r="AD49" s="8">
        <v>90.1</v>
      </c>
      <c r="AE49">
        <v>1</v>
      </c>
      <c r="AG49" s="8">
        <v>215</v>
      </c>
      <c r="AH49">
        <v>1</v>
      </c>
      <c r="AJ49" s="8">
        <v>194.6</v>
      </c>
      <c r="AK49">
        <v>1</v>
      </c>
    </row>
    <row r="50" spans="1:37" x14ac:dyDescent="0.25">
      <c r="X50" s="8" t="s">
        <v>73</v>
      </c>
      <c r="Y50">
        <v>68</v>
      </c>
      <c r="AA50" s="8">
        <v>204</v>
      </c>
      <c r="AB50">
        <v>1</v>
      </c>
      <c r="AD50" s="8">
        <v>91.5</v>
      </c>
      <c r="AE50">
        <v>1</v>
      </c>
      <c r="AG50" s="8">
        <v>216.6</v>
      </c>
      <c r="AH50">
        <v>1</v>
      </c>
      <c r="AJ50" s="8">
        <v>116.6</v>
      </c>
      <c r="AK50">
        <v>1</v>
      </c>
    </row>
    <row r="51" spans="1:37" x14ac:dyDescent="0.25">
      <c r="AA51" s="8">
        <v>232</v>
      </c>
      <c r="AB51">
        <v>1</v>
      </c>
      <c r="AD51" s="8">
        <v>99</v>
      </c>
      <c r="AE51">
        <v>1</v>
      </c>
      <c r="AG51" s="8">
        <v>162</v>
      </c>
      <c r="AH51">
        <v>1</v>
      </c>
      <c r="AJ51" s="8">
        <v>65.2</v>
      </c>
      <c r="AK51">
        <v>1</v>
      </c>
    </row>
    <row r="52" spans="1:37" x14ac:dyDescent="0.25">
      <c r="AA52" s="8">
        <v>205</v>
      </c>
      <c r="AB52">
        <v>1</v>
      </c>
      <c r="AD52" s="8">
        <v>98.3</v>
      </c>
      <c r="AE52">
        <v>1</v>
      </c>
      <c r="AG52" s="8">
        <v>148.4</v>
      </c>
      <c r="AH52">
        <v>1</v>
      </c>
      <c r="AJ52" s="8">
        <v>334</v>
      </c>
      <c r="AK52">
        <v>1</v>
      </c>
    </row>
    <row r="53" spans="1:37" x14ac:dyDescent="0.25">
      <c r="AA53" s="8">
        <v>245</v>
      </c>
      <c r="AB53">
        <v>1</v>
      </c>
      <c r="AD53" s="8">
        <v>109.3</v>
      </c>
      <c r="AE53">
        <v>1</v>
      </c>
      <c r="AG53" s="8">
        <v>179.3</v>
      </c>
      <c r="AH53">
        <v>1</v>
      </c>
      <c r="AJ53" s="8">
        <v>371.7</v>
      </c>
      <c r="AK53">
        <v>1</v>
      </c>
    </row>
    <row r="54" spans="1:37" x14ac:dyDescent="0.25">
      <c r="AA54" s="8">
        <v>196</v>
      </c>
      <c r="AB54">
        <v>1</v>
      </c>
      <c r="AD54" s="8">
        <v>86</v>
      </c>
      <c r="AE54">
        <v>1</v>
      </c>
      <c r="AG54" s="8">
        <v>205.6</v>
      </c>
      <c r="AH54">
        <v>1</v>
      </c>
      <c r="AJ54" s="8">
        <v>104.3</v>
      </c>
      <c r="AK54">
        <v>1</v>
      </c>
    </row>
    <row r="55" spans="1:37" x14ac:dyDescent="0.25">
      <c r="AA55" s="8">
        <v>229</v>
      </c>
      <c r="AB55">
        <v>1</v>
      </c>
      <c r="AD55" s="8">
        <v>82.8</v>
      </c>
      <c r="AE55">
        <v>1</v>
      </c>
      <c r="AG55" s="8">
        <v>119.1</v>
      </c>
      <c r="AH55">
        <v>1</v>
      </c>
      <c r="AJ55" s="8">
        <v>63.5</v>
      </c>
      <c r="AK55">
        <v>1</v>
      </c>
    </row>
    <row r="56" spans="1:37" x14ac:dyDescent="0.25">
      <c r="AA56" s="8">
        <v>214</v>
      </c>
      <c r="AB56">
        <v>1</v>
      </c>
      <c r="AD56" s="8">
        <v>87.7</v>
      </c>
      <c r="AE56">
        <v>1</v>
      </c>
      <c r="AG56" s="8">
        <v>155.69999999999999</v>
      </c>
      <c r="AH56">
        <v>1</v>
      </c>
      <c r="AJ56" s="8">
        <v>167.3</v>
      </c>
      <c r="AK56">
        <v>1</v>
      </c>
    </row>
    <row r="57" spans="1:37" x14ac:dyDescent="0.25">
      <c r="AA57" s="8">
        <v>362</v>
      </c>
      <c r="AB57">
        <v>1</v>
      </c>
      <c r="AD57" s="8">
        <v>93</v>
      </c>
      <c r="AE57">
        <v>1</v>
      </c>
      <c r="AG57" s="8">
        <v>143.6</v>
      </c>
      <c r="AH57">
        <v>1</v>
      </c>
      <c r="AJ57" s="8">
        <v>89</v>
      </c>
      <c r="AK57">
        <v>1</v>
      </c>
    </row>
    <row r="58" spans="1:37" x14ac:dyDescent="0.25">
      <c r="AA58" s="8">
        <v>266</v>
      </c>
      <c r="AB58">
        <v>1</v>
      </c>
      <c r="AD58" s="8">
        <v>70</v>
      </c>
      <c r="AE58">
        <v>1</v>
      </c>
      <c r="AG58" s="8">
        <v>159.19999999999999</v>
      </c>
      <c r="AH58">
        <v>1</v>
      </c>
      <c r="AJ58" s="8">
        <v>139.1</v>
      </c>
      <c r="AK58">
        <v>1</v>
      </c>
    </row>
    <row r="59" spans="1:37" x14ac:dyDescent="0.25">
      <c r="C59" s="11" t="s">
        <v>164</v>
      </c>
      <c r="AA59" s="8">
        <v>293</v>
      </c>
      <c r="AB59">
        <v>1</v>
      </c>
      <c r="AD59" s="8">
        <v>135.5</v>
      </c>
      <c r="AE59">
        <v>1</v>
      </c>
      <c r="AG59" s="8">
        <v>132.80000000000001</v>
      </c>
      <c r="AH59">
        <v>1</v>
      </c>
      <c r="AJ59" s="8">
        <v>52.3</v>
      </c>
      <c r="AK59">
        <v>1</v>
      </c>
    </row>
    <row r="60" spans="1:37" x14ac:dyDescent="0.25">
      <c r="A60" s="9" t="s">
        <v>87</v>
      </c>
      <c r="B60" t="s">
        <v>163</v>
      </c>
      <c r="C60" s="10" t="s">
        <v>81</v>
      </c>
      <c r="D60">
        <f>SUMIFS(B63:B119,A63:A119,"&gt;=-9",A63:A119,"&lt;=10,99")</f>
        <v>66</v>
      </c>
      <c r="AA60" s="8">
        <v>275</v>
      </c>
      <c r="AB60">
        <v>1</v>
      </c>
      <c r="AD60" s="8">
        <v>79.400000000000006</v>
      </c>
      <c r="AE60">
        <v>1</v>
      </c>
      <c r="AG60" s="8">
        <v>164.7</v>
      </c>
      <c r="AH60">
        <v>1</v>
      </c>
      <c r="AJ60" s="8">
        <v>210.3</v>
      </c>
      <c r="AK60">
        <v>1</v>
      </c>
    </row>
    <row r="61" spans="1:37" x14ac:dyDescent="0.25">
      <c r="C61" s="10" t="s">
        <v>82</v>
      </c>
      <c r="D61">
        <f>SUMIFS(B63:B119,A63:A119,"&gt;=11",A63:A119,"&lt;=19,99")</f>
        <v>1</v>
      </c>
      <c r="AA61" s="8">
        <v>260</v>
      </c>
      <c r="AB61">
        <v>1</v>
      </c>
      <c r="AD61" s="8">
        <v>66.3</v>
      </c>
      <c r="AE61">
        <v>1</v>
      </c>
      <c r="AG61" s="8">
        <v>288.10000000000002</v>
      </c>
      <c r="AH61">
        <v>1</v>
      </c>
      <c r="AJ61" s="8">
        <v>1037.4000000000001</v>
      </c>
      <c r="AK61">
        <v>1</v>
      </c>
    </row>
    <row r="62" spans="1:37" x14ac:dyDescent="0.25">
      <c r="A62" s="9" t="s">
        <v>71</v>
      </c>
      <c r="B62" t="s">
        <v>128</v>
      </c>
      <c r="C62" s="10" t="s">
        <v>83</v>
      </c>
      <c r="D62">
        <f>SUMIFS(B63:B119,A63:A119,"&gt;=20",A63:A119,"&lt;=100")</f>
        <v>1</v>
      </c>
      <c r="AA62" s="8">
        <v>227</v>
      </c>
      <c r="AB62">
        <v>1</v>
      </c>
      <c r="AD62" s="8">
        <v>83.9</v>
      </c>
      <c r="AE62">
        <v>1</v>
      </c>
      <c r="AG62" s="8">
        <v>156.5</v>
      </c>
      <c r="AH62">
        <v>1</v>
      </c>
      <c r="AJ62" s="8">
        <v>227.1</v>
      </c>
      <c r="AK62">
        <v>1</v>
      </c>
    </row>
    <row r="63" spans="1:37" x14ac:dyDescent="0.25">
      <c r="A63" s="8">
        <v>2.88</v>
      </c>
      <c r="B63">
        <v>1</v>
      </c>
      <c r="AA63" s="8">
        <v>334</v>
      </c>
      <c r="AB63">
        <v>1</v>
      </c>
      <c r="AD63" s="8">
        <v>80.7</v>
      </c>
      <c r="AE63">
        <v>1</v>
      </c>
      <c r="AG63" s="8">
        <v>151.19999999999999</v>
      </c>
      <c r="AH63">
        <v>1</v>
      </c>
      <c r="AJ63" s="8">
        <v>115.8</v>
      </c>
      <c r="AK63">
        <v>1</v>
      </c>
    </row>
    <row r="64" spans="1:37" x14ac:dyDescent="0.25">
      <c r="A64" s="8">
        <v>6.63</v>
      </c>
      <c r="B64">
        <v>1</v>
      </c>
      <c r="AA64" s="8">
        <v>321</v>
      </c>
      <c r="AB64">
        <v>1</v>
      </c>
      <c r="AD64" s="8">
        <v>100.7</v>
      </c>
      <c r="AE64">
        <v>1</v>
      </c>
      <c r="AG64" s="8">
        <v>159.4</v>
      </c>
      <c r="AH64">
        <v>1</v>
      </c>
      <c r="AJ64" s="8">
        <v>87.2</v>
      </c>
      <c r="AK64">
        <v>1</v>
      </c>
    </row>
    <row r="65" spans="1:37" x14ac:dyDescent="0.25">
      <c r="A65" s="8">
        <v>7.63</v>
      </c>
      <c r="B65">
        <v>1</v>
      </c>
      <c r="AA65" s="8">
        <v>308</v>
      </c>
      <c r="AB65">
        <v>1</v>
      </c>
      <c r="AD65" s="8" t="s">
        <v>73</v>
      </c>
      <c r="AE65">
        <v>68</v>
      </c>
      <c r="AG65" s="8">
        <v>192.2</v>
      </c>
      <c r="AH65">
        <v>1</v>
      </c>
      <c r="AJ65" s="8">
        <v>174.9</v>
      </c>
      <c r="AK65">
        <v>1</v>
      </c>
    </row>
    <row r="66" spans="1:37" x14ac:dyDescent="0.25">
      <c r="A66" s="8">
        <v>10.38</v>
      </c>
      <c r="B66">
        <v>1</v>
      </c>
      <c r="AA66" s="8">
        <v>360</v>
      </c>
      <c r="AB66">
        <v>1</v>
      </c>
      <c r="AG66" s="8">
        <v>138.1</v>
      </c>
      <c r="AH66">
        <v>1</v>
      </c>
      <c r="AJ66" s="8">
        <v>210.6</v>
      </c>
      <c r="AK66">
        <v>1</v>
      </c>
    </row>
    <row r="67" spans="1:37" x14ac:dyDescent="0.25">
      <c r="A67" s="8">
        <v>13.5</v>
      </c>
      <c r="B67">
        <v>1</v>
      </c>
      <c r="AA67" s="8">
        <v>333</v>
      </c>
      <c r="AB67">
        <v>1</v>
      </c>
      <c r="AG67" s="8">
        <v>149.19999999999999</v>
      </c>
      <c r="AH67">
        <v>1</v>
      </c>
      <c r="AJ67" s="8">
        <v>239.3</v>
      </c>
      <c r="AK67">
        <v>1</v>
      </c>
    </row>
    <row r="68" spans="1:37" x14ac:dyDescent="0.25">
      <c r="A68" s="8">
        <v>-1.25</v>
      </c>
      <c r="B68">
        <v>1</v>
      </c>
      <c r="AA68" s="8">
        <v>247</v>
      </c>
      <c r="AB68">
        <v>1</v>
      </c>
      <c r="AG68" s="8">
        <v>157.69999999999999</v>
      </c>
      <c r="AH68">
        <v>1</v>
      </c>
      <c r="AJ68" s="8">
        <v>325.60000000000002</v>
      </c>
      <c r="AK68">
        <v>1</v>
      </c>
    </row>
    <row r="69" spans="1:37" x14ac:dyDescent="0.25">
      <c r="A69" s="8">
        <v>5.5</v>
      </c>
      <c r="B69">
        <v>3</v>
      </c>
      <c r="AA69" s="8" t="s">
        <v>73</v>
      </c>
      <c r="AB69">
        <v>68</v>
      </c>
      <c r="AG69" s="8">
        <v>273.89999999999998</v>
      </c>
      <c r="AH69">
        <v>1</v>
      </c>
      <c r="AJ69" s="8">
        <v>193.1</v>
      </c>
      <c r="AK69">
        <v>1</v>
      </c>
    </row>
    <row r="70" spans="1:37" x14ac:dyDescent="0.25">
      <c r="A70" s="8">
        <v>3.38</v>
      </c>
      <c r="B70">
        <v>6</v>
      </c>
      <c r="AG70" s="8">
        <v>179.2</v>
      </c>
      <c r="AH70">
        <v>1</v>
      </c>
      <c r="AJ70" s="8">
        <v>68.2</v>
      </c>
      <c r="AK70">
        <v>1</v>
      </c>
    </row>
    <row r="71" spans="1:37" x14ac:dyDescent="0.25">
      <c r="A71" s="8">
        <v>3.13</v>
      </c>
      <c r="B71">
        <v>4</v>
      </c>
      <c r="AG71" s="8">
        <v>204.5</v>
      </c>
      <c r="AH71">
        <v>1</v>
      </c>
      <c r="AJ71" s="8">
        <v>276.2</v>
      </c>
      <c r="AK71">
        <v>1</v>
      </c>
    </row>
    <row r="72" spans="1:37" x14ac:dyDescent="0.25">
      <c r="A72" s="8">
        <v>8</v>
      </c>
      <c r="B72">
        <v>4</v>
      </c>
      <c r="AG72" s="8">
        <v>160.19999999999999</v>
      </c>
      <c r="AH72">
        <v>1</v>
      </c>
      <c r="AJ72" s="8">
        <v>213.3</v>
      </c>
      <c r="AK72">
        <v>1</v>
      </c>
    </row>
    <row r="73" spans="1:37" x14ac:dyDescent="0.25">
      <c r="A73" s="8">
        <v>9.1300000000000008</v>
      </c>
      <c r="B73">
        <v>2</v>
      </c>
      <c r="H73" s="9" t="s">
        <v>71</v>
      </c>
      <c r="I73" t="s">
        <v>469</v>
      </c>
      <c r="AG73" s="8">
        <v>160.80000000000001</v>
      </c>
      <c r="AH73">
        <v>1</v>
      </c>
      <c r="AJ73" s="8">
        <v>273.60000000000002</v>
      </c>
      <c r="AK73">
        <v>1</v>
      </c>
    </row>
    <row r="74" spans="1:37" x14ac:dyDescent="0.25">
      <c r="A74" s="8">
        <v>-0.5</v>
      </c>
      <c r="B74">
        <v>2</v>
      </c>
      <c r="H74" s="8" t="s">
        <v>22</v>
      </c>
      <c r="I74">
        <v>39</v>
      </c>
      <c r="AG74" s="8" t="s">
        <v>73</v>
      </c>
      <c r="AH74">
        <v>68</v>
      </c>
      <c r="AJ74" s="8">
        <v>68.400000000000006</v>
      </c>
      <c r="AK74">
        <v>1</v>
      </c>
    </row>
    <row r="75" spans="1:37" x14ac:dyDescent="0.25">
      <c r="A75" s="8">
        <v>4.5</v>
      </c>
      <c r="B75">
        <v>1</v>
      </c>
      <c r="H75" s="8" t="s">
        <v>123</v>
      </c>
      <c r="I75">
        <v>15</v>
      </c>
      <c r="AJ75" s="8">
        <v>137.30000000000001</v>
      </c>
      <c r="AK75">
        <v>1</v>
      </c>
    </row>
    <row r="76" spans="1:37" x14ac:dyDescent="0.25">
      <c r="A76" s="8">
        <v>4.13</v>
      </c>
      <c r="B76">
        <v>1</v>
      </c>
      <c r="H76" s="8" t="s">
        <v>24</v>
      </c>
      <c r="I76">
        <v>3</v>
      </c>
      <c r="AJ76" s="8" t="s">
        <v>73</v>
      </c>
      <c r="AK76">
        <v>68</v>
      </c>
    </row>
    <row r="77" spans="1:37" x14ac:dyDescent="0.25">
      <c r="A77" s="8">
        <v>4.25</v>
      </c>
      <c r="B77">
        <v>1</v>
      </c>
      <c r="H77" s="8" t="s">
        <v>23</v>
      </c>
      <c r="I77">
        <v>3</v>
      </c>
    </row>
    <row r="78" spans="1:37" x14ac:dyDescent="0.25">
      <c r="A78" s="8">
        <v>3.63</v>
      </c>
      <c r="B78">
        <v>1</v>
      </c>
      <c r="H78" s="8" t="s">
        <v>73</v>
      </c>
      <c r="I78">
        <v>60</v>
      </c>
    </row>
    <row r="79" spans="1:37" x14ac:dyDescent="0.25">
      <c r="A79" s="8">
        <v>5.38</v>
      </c>
      <c r="B79">
        <v>1</v>
      </c>
    </row>
    <row r="80" spans="1:37" x14ac:dyDescent="0.25">
      <c r="A80" s="8">
        <v>2.25</v>
      </c>
      <c r="B80">
        <v>1</v>
      </c>
    </row>
    <row r="81" spans="1:9" x14ac:dyDescent="0.25">
      <c r="A81" s="8">
        <v>3.5</v>
      </c>
      <c r="B81">
        <v>1</v>
      </c>
    </row>
    <row r="82" spans="1:9" x14ac:dyDescent="0.25">
      <c r="A82" s="8">
        <v>0.63</v>
      </c>
      <c r="B82">
        <v>1</v>
      </c>
    </row>
    <row r="83" spans="1:9" x14ac:dyDescent="0.25">
      <c r="A83" s="8">
        <v>4.63</v>
      </c>
      <c r="B83">
        <v>2</v>
      </c>
    </row>
    <row r="84" spans="1:9" x14ac:dyDescent="0.25">
      <c r="A84" s="8">
        <v>-0.63</v>
      </c>
      <c r="B84">
        <v>1</v>
      </c>
    </row>
    <row r="85" spans="1:9" x14ac:dyDescent="0.25">
      <c r="A85" s="8">
        <v>4</v>
      </c>
      <c r="B85">
        <v>1</v>
      </c>
      <c r="H85" s="9" t="s">
        <v>71</v>
      </c>
      <c r="I85" t="s">
        <v>470</v>
      </c>
    </row>
    <row r="86" spans="1:9" x14ac:dyDescent="0.25">
      <c r="A86" s="8">
        <v>22</v>
      </c>
      <c r="B86">
        <v>1</v>
      </c>
      <c r="H86" s="8" t="s">
        <v>22</v>
      </c>
      <c r="I86">
        <v>60</v>
      </c>
    </row>
    <row r="87" spans="1:9" x14ac:dyDescent="0.25">
      <c r="A87" s="8">
        <v>2.5</v>
      </c>
      <c r="B87">
        <v>3</v>
      </c>
      <c r="H87" s="8" t="s">
        <v>73</v>
      </c>
      <c r="I87">
        <v>60</v>
      </c>
    </row>
    <row r="88" spans="1:9" x14ac:dyDescent="0.25">
      <c r="A88" s="8">
        <v>1</v>
      </c>
      <c r="B88">
        <v>2</v>
      </c>
    </row>
    <row r="89" spans="1:9" x14ac:dyDescent="0.25">
      <c r="A89" s="8">
        <v>6.13</v>
      </c>
      <c r="B89">
        <v>1</v>
      </c>
    </row>
    <row r="90" spans="1:9" x14ac:dyDescent="0.25">
      <c r="A90" s="8">
        <v>3.25</v>
      </c>
      <c r="B90">
        <v>2</v>
      </c>
    </row>
    <row r="91" spans="1:9" x14ac:dyDescent="0.25">
      <c r="A91" s="8">
        <v>5.25</v>
      </c>
      <c r="B91">
        <v>2</v>
      </c>
    </row>
    <row r="92" spans="1:9" x14ac:dyDescent="0.25">
      <c r="A92" s="8">
        <v>8.25</v>
      </c>
      <c r="B92">
        <v>1</v>
      </c>
    </row>
    <row r="93" spans="1:9" x14ac:dyDescent="0.25">
      <c r="A93" s="8">
        <v>6.38</v>
      </c>
      <c r="B93">
        <v>2</v>
      </c>
    </row>
    <row r="94" spans="1:9" x14ac:dyDescent="0.25">
      <c r="A94" s="8">
        <v>2.13</v>
      </c>
      <c r="B94">
        <v>2</v>
      </c>
    </row>
    <row r="95" spans="1:9" x14ac:dyDescent="0.25">
      <c r="A95" s="8">
        <v>8.1300000000000008</v>
      </c>
      <c r="B95">
        <v>1</v>
      </c>
    </row>
    <row r="96" spans="1:9" x14ac:dyDescent="0.25">
      <c r="A96" s="8">
        <v>4.38</v>
      </c>
      <c r="B96">
        <v>1</v>
      </c>
    </row>
    <row r="97" spans="1:9" x14ac:dyDescent="0.25">
      <c r="A97" s="8">
        <v>6.25</v>
      </c>
      <c r="B97">
        <v>4</v>
      </c>
    </row>
    <row r="98" spans="1:9" x14ac:dyDescent="0.25">
      <c r="A98" s="8">
        <v>-3.25</v>
      </c>
      <c r="B98">
        <v>1</v>
      </c>
    </row>
    <row r="99" spans="1:9" x14ac:dyDescent="0.25">
      <c r="A99" s="8">
        <v>7.75</v>
      </c>
      <c r="B99">
        <v>1</v>
      </c>
      <c r="H99" s="9" t="s">
        <v>71</v>
      </c>
      <c r="I99" t="s">
        <v>472</v>
      </c>
    </row>
    <row r="100" spans="1:9" x14ac:dyDescent="0.25">
      <c r="A100" s="8">
        <v>-0.75</v>
      </c>
      <c r="B100">
        <v>1</v>
      </c>
      <c r="H100" s="8" t="s">
        <v>471</v>
      </c>
      <c r="I100">
        <v>1</v>
      </c>
    </row>
    <row r="101" spans="1:9" x14ac:dyDescent="0.25">
      <c r="A101" s="8">
        <v>7.5</v>
      </c>
      <c r="B101">
        <v>1</v>
      </c>
      <c r="H101" s="8" t="s">
        <v>28</v>
      </c>
      <c r="I101">
        <v>1</v>
      </c>
    </row>
    <row r="102" spans="1:9" x14ac:dyDescent="0.25">
      <c r="A102" s="8">
        <v>1.38</v>
      </c>
      <c r="B102">
        <v>1</v>
      </c>
      <c r="H102" s="8" t="s">
        <v>22</v>
      </c>
      <c r="I102">
        <v>58</v>
      </c>
    </row>
    <row r="103" spans="1:9" x14ac:dyDescent="0.25">
      <c r="A103" s="8">
        <v>2</v>
      </c>
      <c r="B103">
        <v>1</v>
      </c>
      <c r="H103" s="8" t="s">
        <v>73</v>
      </c>
      <c r="I103">
        <v>60</v>
      </c>
    </row>
    <row r="104" spans="1:9" x14ac:dyDescent="0.25">
      <c r="A104" s="8">
        <v>0.13</v>
      </c>
      <c r="B104">
        <v>1</v>
      </c>
    </row>
    <row r="105" spans="1:9" x14ac:dyDescent="0.25">
      <c r="A105" s="8" t="s">
        <v>73</v>
      </c>
      <c r="B105">
        <v>68</v>
      </c>
    </row>
  </sheetData>
  <pageMargins left="0.7" right="0.7" top="0.75" bottom="0.75" header="0.3" footer="0.3"/>
  <pageSetup orientation="portrait" r:id="rId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C6D5-BC07-4E89-8229-4E3383001BC0}">
  <dimension ref="A1:H63"/>
  <sheetViews>
    <sheetView topLeftCell="A10" workbookViewId="0">
      <selection activeCell="B22" sqref="B22"/>
    </sheetView>
  </sheetViews>
  <sheetFormatPr baseColWidth="10" defaultRowHeight="15" x14ac:dyDescent="0.25"/>
  <cols>
    <col min="1" max="1" width="29.5703125" customWidth="1"/>
    <col min="2" max="2" width="26.7109375" customWidth="1"/>
  </cols>
  <sheetData>
    <row r="1" spans="1:2" x14ac:dyDescent="0.25">
      <c r="A1" t="s">
        <v>16</v>
      </c>
      <c r="B1" t="s">
        <v>25</v>
      </c>
    </row>
    <row r="2" spans="1:2" x14ac:dyDescent="0.25">
      <c r="A2">
        <v>0</v>
      </c>
      <c r="B2" t="s">
        <v>45</v>
      </c>
    </row>
    <row r="3" spans="1:2" x14ac:dyDescent="0.25">
      <c r="A3">
        <v>1</v>
      </c>
      <c r="B3" t="s">
        <v>123</v>
      </c>
    </row>
    <row r="4" spans="1:2" x14ac:dyDescent="0.25">
      <c r="A4">
        <v>2</v>
      </c>
      <c r="B4" t="s">
        <v>22</v>
      </c>
    </row>
    <row r="5" spans="1:2" x14ac:dyDescent="0.25">
      <c r="A5">
        <v>3</v>
      </c>
      <c r="B5" t="s">
        <v>23</v>
      </c>
    </row>
    <row r="6" spans="1:2" x14ac:dyDescent="0.25">
      <c r="A6">
        <v>4</v>
      </c>
      <c r="B6" t="s">
        <v>24</v>
      </c>
    </row>
    <row r="8" spans="1:2" x14ac:dyDescent="0.25">
      <c r="A8" s="6" t="s">
        <v>17</v>
      </c>
      <c r="B8" s="6" t="s">
        <v>25</v>
      </c>
    </row>
    <row r="9" spans="1:2" x14ac:dyDescent="0.25">
      <c r="A9" s="6">
        <v>0</v>
      </c>
      <c r="B9" s="8" t="s">
        <v>45</v>
      </c>
    </row>
    <row r="10" spans="1:2" x14ac:dyDescent="0.25">
      <c r="A10">
        <v>1</v>
      </c>
      <c r="B10" t="s">
        <v>22</v>
      </c>
    </row>
    <row r="11" spans="1:2" x14ac:dyDescent="0.25">
      <c r="A11">
        <v>2</v>
      </c>
      <c r="B11" t="s">
        <v>26</v>
      </c>
    </row>
    <row r="13" spans="1:2" x14ac:dyDescent="0.25">
      <c r="A13" t="s">
        <v>27</v>
      </c>
      <c r="B13" t="s">
        <v>25</v>
      </c>
    </row>
    <row r="14" spans="1:2" x14ac:dyDescent="0.25">
      <c r="A14">
        <v>0</v>
      </c>
      <c r="B14" t="s">
        <v>45</v>
      </c>
    </row>
    <row r="15" spans="1:2" x14ac:dyDescent="0.25">
      <c r="A15">
        <v>1</v>
      </c>
      <c r="B15" t="s">
        <v>22</v>
      </c>
    </row>
    <row r="16" spans="1:2" x14ac:dyDescent="0.25">
      <c r="A16">
        <v>2</v>
      </c>
      <c r="B16" t="s">
        <v>28</v>
      </c>
    </row>
    <row r="18" spans="1:8" x14ac:dyDescent="0.25">
      <c r="A18" t="s">
        <v>1</v>
      </c>
      <c r="B18" t="s">
        <v>25</v>
      </c>
    </row>
    <row r="19" spans="1:8" x14ac:dyDescent="0.25">
      <c r="A19">
        <v>0</v>
      </c>
      <c r="B19" t="s">
        <v>45</v>
      </c>
    </row>
    <row r="20" spans="1:8" x14ac:dyDescent="0.25">
      <c r="A20">
        <v>1</v>
      </c>
      <c r="B20" t="s">
        <v>31</v>
      </c>
      <c r="H20" s="7"/>
    </row>
    <row r="21" spans="1:8" x14ac:dyDescent="0.25">
      <c r="A21">
        <v>2</v>
      </c>
      <c r="B21" t="s">
        <v>32</v>
      </c>
      <c r="H21" s="3"/>
    </row>
    <row r="22" spans="1:8" x14ac:dyDescent="0.25">
      <c r="A22">
        <v>3</v>
      </c>
      <c r="B22" t="s">
        <v>46</v>
      </c>
      <c r="H22" s="5"/>
    </row>
    <row r="23" spans="1:8" x14ac:dyDescent="0.25">
      <c r="A23">
        <v>4</v>
      </c>
      <c r="B23" t="s">
        <v>47</v>
      </c>
      <c r="H23" s="5"/>
    </row>
    <row r="24" spans="1:8" x14ac:dyDescent="0.25">
      <c r="A24">
        <v>5</v>
      </c>
      <c r="B24" t="s">
        <v>48</v>
      </c>
      <c r="H24" s="4"/>
    </row>
    <row r="25" spans="1:8" x14ac:dyDescent="0.25">
      <c r="A25">
        <v>6</v>
      </c>
      <c r="B25" t="s">
        <v>49</v>
      </c>
      <c r="H25" s="4"/>
    </row>
    <row r="26" spans="1:8" x14ac:dyDescent="0.25">
      <c r="A26">
        <v>7</v>
      </c>
      <c r="B26" t="s">
        <v>50</v>
      </c>
      <c r="H26" s="5"/>
    </row>
    <row r="27" spans="1:8" x14ac:dyDescent="0.25">
      <c r="A27">
        <v>8</v>
      </c>
      <c r="B27" t="s">
        <v>51</v>
      </c>
      <c r="H27" s="5"/>
    </row>
    <row r="28" spans="1:8" x14ac:dyDescent="0.25">
      <c r="A28">
        <v>9</v>
      </c>
      <c r="B28" t="s">
        <v>52</v>
      </c>
      <c r="H28" s="4"/>
    </row>
    <row r="29" spans="1:8" x14ac:dyDescent="0.25">
      <c r="A29">
        <v>10</v>
      </c>
      <c r="B29" t="s">
        <v>53</v>
      </c>
      <c r="H29" s="4"/>
    </row>
    <row r="30" spans="1:8" x14ac:dyDescent="0.25">
      <c r="A30">
        <v>11</v>
      </c>
      <c r="B30" t="s">
        <v>54</v>
      </c>
      <c r="H30" s="3"/>
    </row>
    <row r="31" spans="1:8" x14ac:dyDescent="0.25">
      <c r="A31">
        <v>12</v>
      </c>
      <c r="B31" t="s">
        <v>55</v>
      </c>
      <c r="H31" s="5"/>
    </row>
    <row r="32" spans="1:8" x14ac:dyDescent="0.25">
      <c r="A32">
        <v>13</v>
      </c>
      <c r="B32" t="s">
        <v>56</v>
      </c>
      <c r="H32" s="4"/>
    </row>
    <row r="33" spans="1:8" x14ac:dyDescent="0.25">
      <c r="A33">
        <v>14</v>
      </c>
      <c r="B33" t="s">
        <v>57</v>
      </c>
      <c r="H33" s="4"/>
    </row>
    <row r="34" spans="1:8" x14ac:dyDescent="0.25">
      <c r="A34">
        <v>15</v>
      </c>
      <c r="B34" t="s">
        <v>58</v>
      </c>
      <c r="H34" s="3"/>
    </row>
    <row r="35" spans="1:8" x14ac:dyDescent="0.25">
      <c r="A35">
        <v>16</v>
      </c>
      <c r="B35" t="s">
        <v>59</v>
      </c>
      <c r="H35" s="5"/>
    </row>
    <row r="36" spans="1:8" x14ac:dyDescent="0.25">
      <c r="A36">
        <v>17</v>
      </c>
      <c r="B36" t="s">
        <v>60</v>
      </c>
      <c r="H36" s="4"/>
    </row>
    <row r="37" spans="1:8" x14ac:dyDescent="0.25">
      <c r="A37">
        <v>18</v>
      </c>
      <c r="B37" t="s">
        <v>61</v>
      </c>
      <c r="H37" s="4"/>
    </row>
    <row r="38" spans="1:8" x14ac:dyDescent="0.25">
      <c r="A38">
        <v>19</v>
      </c>
      <c r="B38" t="s">
        <v>62</v>
      </c>
      <c r="H38" s="3"/>
    </row>
    <row r="39" spans="1:8" x14ac:dyDescent="0.25">
      <c r="A39">
        <v>20</v>
      </c>
      <c r="B39" t="s">
        <v>63</v>
      </c>
      <c r="H39" s="5"/>
    </row>
    <row r="40" spans="1:8" x14ac:dyDescent="0.25">
      <c r="A40">
        <v>21</v>
      </c>
      <c r="B40" t="s">
        <v>64</v>
      </c>
      <c r="H40" s="4"/>
    </row>
    <row r="41" spans="1:8" x14ac:dyDescent="0.25">
      <c r="A41">
        <v>22</v>
      </c>
      <c r="B41" t="s">
        <v>65</v>
      </c>
      <c r="H41" s="4"/>
    </row>
    <row r="42" spans="1:8" x14ac:dyDescent="0.25">
      <c r="A42">
        <v>23</v>
      </c>
      <c r="B42" t="s">
        <v>66</v>
      </c>
      <c r="H42" s="3"/>
    </row>
    <row r="43" spans="1:8" x14ac:dyDescent="0.25">
      <c r="A43">
        <v>24</v>
      </c>
      <c r="B43" t="s">
        <v>67</v>
      </c>
      <c r="H43" s="5"/>
    </row>
    <row r="44" spans="1:8" x14ac:dyDescent="0.25">
      <c r="A44">
        <v>25</v>
      </c>
      <c r="B44" t="s">
        <v>68</v>
      </c>
      <c r="H44" s="4"/>
    </row>
    <row r="45" spans="1:8" x14ac:dyDescent="0.25">
      <c r="A45">
        <v>26</v>
      </c>
      <c r="B45" t="s">
        <v>69</v>
      </c>
      <c r="H45" s="4"/>
    </row>
    <row r="48" spans="1:8" x14ac:dyDescent="0.25">
      <c r="A48" t="s">
        <v>33</v>
      </c>
      <c r="B48" t="s">
        <v>25</v>
      </c>
    </row>
    <row r="49" spans="1:2" x14ac:dyDescent="0.25">
      <c r="B49" t="s">
        <v>45</v>
      </c>
    </row>
    <row r="50" spans="1:2" x14ac:dyDescent="0.25">
      <c r="A50">
        <v>1</v>
      </c>
      <c r="B50" t="s">
        <v>22</v>
      </c>
    </row>
    <row r="51" spans="1:2" x14ac:dyDescent="0.25">
      <c r="A51">
        <v>2</v>
      </c>
      <c r="B51" t="s">
        <v>135</v>
      </c>
    </row>
    <row r="52" spans="1:2" x14ac:dyDescent="0.25">
      <c r="A52">
        <v>3</v>
      </c>
      <c r="B52" t="s">
        <v>134</v>
      </c>
    </row>
    <row r="53" spans="1:2" x14ac:dyDescent="0.25">
      <c r="A53">
        <v>4</v>
      </c>
      <c r="B53" t="s">
        <v>34</v>
      </c>
    </row>
    <row r="54" spans="1:2" x14ac:dyDescent="0.25">
      <c r="A54">
        <v>4</v>
      </c>
      <c r="B54" t="s">
        <v>35</v>
      </c>
    </row>
    <row r="56" spans="1:2" x14ac:dyDescent="0.25">
      <c r="A56" t="s">
        <v>20</v>
      </c>
      <c r="B56" t="s">
        <v>25</v>
      </c>
    </row>
    <row r="57" spans="1:2" x14ac:dyDescent="0.25">
      <c r="A57">
        <v>1</v>
      </c>
      <c r="B57" t="s">
        <v>38</v>
      </c>
    </row>
    <row r="58" spans="1:2" x14ac:dyDescent="0.25">
      <c r="A58">
        <v>2</v>
      </c>
      <c r="B58" t="s">
        <v>40</v>
      </c>
    </row>
    <row r="59" spans="1:2" x14ac:dyDescent="0.25">
      <c r="A59">
        <v>3</v>
      </c>
      <c r="B59" t="s">
        <v>39</v>
      </c>
    </row>
    <row r="60" spans="1:2" x14ac:dyDescent="0.25">
      <c r="A60">
        <v>4</v>
      </c>
      <c r="B60" t="s">
        <v>41</v>
      </c>
    </row>
    <row r="61" spans="1:2" x14ac:dyDescent="0.25">
      <c r="A61">
        <v>5</v>
      </c>
      <c r="B61" t="s">
        <v>42</v>
      </c>
    </row>
    <row r="62" spans="1:2" x14ac:dyDescent="0.25">
      <c r="A62">
        <v>6</v>
      </c>
      <c r="B62" t="s">
        <v>43</v>
      </c>
    </row>
    <row r="63" spans="1:2" x14ac:dyDescent="0.25">
      <c r="A63">
        <v>7</v>
      </c>
      <c r="B63" t="s">
        <v>44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3C49F22-7244-4B71-AB16-B5DC41A357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Hoja3!B2:B6</xm:f>
              <xm:sqref>H2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CONCENTRADO</vt:lpstr>
      <vt:lpstr>LABORATORIOS</vt:lpstr>
      <vt:lpstr>GRAFICAS</vt:lpstr>
      <vt:lpstr>GRAFICAS OCULTAR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Sistemas Medica Industrial</cp:lastModifiedBy>
  <dcterms:created xsi:type="dcterms:W3CDTF">2018-10-05T15:23:04Z</dcterms:created>
  <dcterms:modified xsi:type="dcterms:W3CDTF">2026-05-18T20:44:35Z</dcterms:modified>
</cp:coreProperties>
</file>